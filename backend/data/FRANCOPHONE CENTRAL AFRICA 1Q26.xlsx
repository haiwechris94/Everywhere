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:\HAIWE\NEW GENERATION\2026\1Q 2026\"/>
    </mc:Choice>
  </mc:AlternateContent>
  <xr:revisionPtr revIDLastSave="0" documentId="13_ncr:1_{A0292109-0275-4EE4-B6AB-A0BB87A59D37}" xr6:coauthVersionLast="47" xr6:coauthVersionMax="47" xr10:uidLastSave="{00000000-0000-0000-0000-000000000000}"/>
  <bookViews>
    <workbookView xWindow="-90" yWindow="-90" windowWidth="19380" windowHeight="10260" xr2:uid="{E5ABE27A-CD73-4C98-A81F-90F7D705D7EE}"/>
  </bookViews>
  <sheets>
    <sheet name="Sheet1" sheetId="1" r:id="rId1"/>
    <sheet name="NEW PGs" sheetId="2" r:id="rId2"/>
  </sheets>
  <definedNames>
    <definedName name="_xlnm._FilterDatabase" localSheetId="0" hidden="1">Sheet1!$A$2:$AI$196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9" i="2" l="1"/>
  <c r="H20" i="2"/>
  <c r="H21" i="2"/>
  <c r="H22" i="2"/>
  <c r="H18" i="2"/>
  <c r="H4" i="2"/>
  <c r="H2" i="2"/>
  <c r="H3" i="2"/>
  <c r="H5" i="2"/>
  <c r="H17" i="2"/>
  <c r="H7" i="2"/>
  <c r="H8" i="2"/>
  <c r="H9" i="2"/>
  <c r="H10" i="2"/>
  <c r="H11" i="2"/>
  <c r="H12" i="2"/>
  <c r="H13" i="2"/>
  <c r="H14" i="2"/>
  <c r="H15" i="2"/>
  <c r="H16" i="2"/>
  <c r="H6" i="2"/>
  <c r="V24" i="1" l="1"/>
  <c r="AD24" i="1" s="1"/>
  <c r="V41" i="1"/>
  <c r="V44" i="1"/>
  <c r="V22" i="1"/>
  <c r="AD22" i="1" s="1"/>
  <c r="V36" i="1"/>
  <c r="AD36" i="1" s="1"/>
  <c r="V20" i="1"/>
  <c r="V35" i="1"/>
  <c r="AD35" i="1" s="1"/>
  <c r="V8" i="1"/>
  <c r="W8" i="1" s="1"/>
  <c r="V28" i="1"/>
  <c r="AD28" i="1" s="1"/>
  <c r="V47" i="1"/>
  <c r="V30" i="1"/>
  <c r="V15" i="1"/>
  <c r="W15" i="1" s="1"/>
  <c r="V32" i="1"/>
  <c r="AD32" i="1" s="1"/>
  <c r="V62" i="1"/>
  <c r="V60" i="1"/>
  <c r="AD60" i="1" s="1"/>
  <c r="V64" i="1"/>
  <c r="W64" i="1" s="1"/>
  <c r="V21" i="1"/>
  <c r="W21" i="1" s="1"/>
  <c r="V7" i="1"/>
  <c r="V13" i="1"/>
  <c r="V42" i="1"/>
  <c r="W42" i="1" s="1"/>
  <c r="V26" i="1"/>
  <c r="AD26" i="1" s="1"/>
  <c r="V43" i="1"/>
  <c r="V63" i="1"/>
  <c r="AD63" i="1" s="1"/>
  <c r="V3" i="1"/>
  <c r="W3" i="1" s="1"/>
  <c r="V19" i="1"/>
  <c r="W19" i="1" s="1"/>
  <c r="V58" i="1"/>
  <c r="V61" i="1"/>
  <c r="V48" i="1"/>
  <c r="AD48" i="1" s="1"/>
  <c r="V9" i="1"/>
  <c r="AD9" i="1" s="1"/>
  <c r="V54" i="1"/>
  <c r="V40" i="1"/>
  <c r="AD40" i="1" s="1"/>
  <c r="V53" i="1"/>
  <c r="W53" i="1" s="1"/>
  <c r="V16" i="1"/>
  <c r="W16" i="1" s="1"/>
  <c r="V49" i="1"/>
  <c r="V10" i="1"/>
  <c r="V23" i="1"/>
  <c r="W23" i="1" s="1"/>
  <c r="V17" i="1"/>
  <c r="AD17" i="1" s="1"/>
  <c r="V50" i="1"/>
  <c r="V57" i="1"/>
  <c r="AD57" i="1" s="1"/>
  <c r="V46" i="1"/>
  <c r="W46" i="1" s="1"/>
  <c r="V25" i="1"/>
  <c r="AD25" i="1" s="1"/>
  <c r="V27" i="1"/>
  <c r="V52" i="1"/>
  <c r="V29" i="1"/>
  <c r="AD29" i="1" s="1"/>
  <c r="V51" i="1"/>
  <c r="AD51" i="1" s="1"/>
  <c r="V56" i="1"/>
  <c r="V55" i="1"/>
  <c r="AD55" i="1" s="1"/>
  <c r="V59" i="1"/>
  <c r="W59" i="1" s="1"/>
  <c r="V6" i="1"/>
  <c r="AD6" i="1" s="1"/>
  <c r="V31" i="1"/>
  <c r="V37" i="1"/>
  <c r="V45" i="1"/>
  <c r="AD45" i="1" s="1"/>
  <c r="V4" i="1"/>
  <c r="AD4" i="1" s="1"/>
  <c r="V34" i="1"/>
  <c r="V39" i="1"/>
  <c r="AD39" i="1" s="1"/>
  <c r="V12" i="1"/>
  <c r="W12" i="1" s="1"/>
  <c r="V38" i="1"/>
  <c r="W38" i="1" s="1"/>
  <c r="V11" i="1"/>
  <c r="V65" i="1"/>
  <c r="V66" i="1"/>
  <c r="AD66" i="1" s="1"/>
  <c r="V67" i="1"/>
  <c r="AD67" i="1" s="1"/>
  <c r="V14" i="1"/>
  <c r="V18" i="1"/>
  <c r="AD18" i="1" s="1"/>
  <c r="V33" i="1"/>
  <c r="W33" i="1" s="1"/>
  <c r="V92" i="1"/>
  <c r="AD92" i="1" s="1"/>
  <c r="V70" i="1"/>
  <c r="V76" i="1"/>
  <c r="V69" i="1"/>
  <c r="AD69" i="1" s="1"/>
  <c r="V72" i="1"/>
  <c r="AD72" i="1" s="1"/>
  <c r="V90" i="1"/>
  <c r="V102" i="1"/>
  <c r="AD102" i="1" s="1"/>
  <c r="V89" i="1"/>
  <c r="W89" i="1" s="1"/>
  <c r="V83" i="1"/>
  <c r="AD83" i="1" s="1"/>
  <c r="V88" i="1"/>
  <c r="V105" i="1"/>
  <c r="V106" i="1"/>
  <c r="W106" i="1" s="1"/>
  <c r="V103" i="1"/>
  <c r="AD103" i="1" s="1"/>
  <c r="V99" i="1"/>
  <c r="V100" i="1"/>
  <c r="AD100" i="1" s="1"/>
  <c r="V96" i="1"/>
  <c r="W96" i="1" s="1"/>
  <c r="V104" i="1"/>
  <c r="W104" i="1" s="1"/>
  <c r="V71" i="1"/>
  <c r="V85" i="1"/>
  <c r="V98" i="1"/>
  <c r="W98" i="1" s="1"/>
  <c r="V75" i="1"/>
  <c r="AD75" i="1" s="1"/>
  <c r="V86" i="1"/>
  <c r="V94" i="1"/>
  <c r="AD94" i="1" s="1"/>
  <c r="V74" i="1"/>
  <c r="W74" i="1" s="1"/>
  <c r="V84" i="1"/>
  <c r="AD84" i="1" s="1"/>
  <c r="V93" i="1"/>
  <c r="V73" i="1"/>
  <c r="V95" i="1"/>
  <c r="AD95" i="1" s="1"/>
  <c r="V87" i="1"/>
  <c r="AD87" i="1" s="1"/>
  <c r="V68" i="1"/>
  <c r="V80" i="1"/>
  <c r="AD80" i="1" s="1"/>
  <c r="V91" i="1"/>
  <c r="W91" i="1" s="1"/>
  <c r="V79" i="1"/>
  <c r="AD79" i="1" s="1"/>
  <c r="V78" i="1"/>
  <c r="V81" i="1"/>
  <c r="V77" i="1"/>
  <c r="W77" i="1" s="1"/>
  <c r="V82" i="1"/>
  <c r="AD82" i="1" s="1"/>
  <c r="V97" i="1"/>
  <c r="V101" i="1"/>
  <c r="AD101" i="1" s="1"/>
  <c r="V135" i="1"/>
  <c r="W135" i="1" s="1"/>
  <c r="V114" i="1"/>
  <c r="W114" i="1" s="1"/>
  <c r="V110" i="1"/>
  <c r="V141" i="1"/>
  <c r="V124" i="1"/>
  <c r="W124" i="1" s="1"/>
  <c r="V113" i="1"/>
  <c r="AD113" i="1" s="1"/>
  <c r="V120" i="1"/>
  <c r="V139" i="1"/>
  <c r="AD139" i="1" s="1"/>
  <c r="V107" i="1"/>
  <c r="W107" i="1" s="1"/>
  <c r="V117" i="1"/>
  <c r="W117" i="1" s="1"/>
  <c r="V132" i="1"/>
  <c r="V122" i="1"/>
  <c r="V136" i="1"/>
  <c r="W136" i="1" s="1"/>
  <c r="V121" i="1"/>
  <c r="AD121" i="1" s="1"/>
  <c r="V125" i="1"/>
  <c r="V123" i="1"/>
  <c r="AD123" i="1" s="1"/>
  <c r="V127" i="1"/>
  <c r="W127" i="1" s="1"/>
  <c r="V118" i="1"/>
  <c r="AD118" i="1" s="1"/>
  <c r="V119" i="1"/>
  <c r="V129" i="1"/>
  <c r="V108" i="1"/>
  <c r="W108" i="1" s="1"/>
  <c r="V131" i="1"/>
  <c r="AD131" i="1" s="1"/>
  <c r="V112" i="1"/>
  <c r="V142" i="1"/>
  <c r="AD142" i="1" s="1"/>
  <c r="V137" i="1"/>
  <c r="W137" i="1" s="1"/>
  <c r="V116" i="1"/>
  <c r="W116" i="1" s="1"/>
  <c r="V109" i="1"/>
  <c r="V111" i="1"/>
  <c r="V115" i="1"/>
  <c r="AD115" i="1" s="1"/>
  <c r="V128" i="1"/>
  <c r="AD128" i="1" s="1"/>
  <c r="V130" i="1"/>
  <c r="V133" i="1"/>
  <c r="AD133" i="1" s="1"/>
  <c r="V138" i="1"/>
  <c r="W138" i="1" s="1"/>
  <c r="V140" i="1"/>
  <c r="AD140" i="1" s="1"/>
  <c r="V143" i="1"/>
  <c r="V134" i="1"/>
  <c r="V126" i="1"/>
  <c r="AD126" i="1" s="1"/>
  <c r="V144" i="1"/>
  <c r="AD144" i="1" s="1"/>
  <c r="V145" i="1"/>
  <c r="V146" i="1"/>
  <c r="AD146" i="1" s="1"/>
  <c r="V147" i="1"/>
  <c r="W147" i="1" s="1"/>
  <c r="V148" i="1"/>
  <c r="W148" i="1" s="1"/>
  <c r="V149" i="1"/>
  <c r="V150" i="1"/>
  <c r="V151" i="1"/>
  <c r="W151" i="1" s="1"/>
  <c r="V152" i="1"/>
  <c r="AD152" i="1" s="1"/>
  <c r="V153" i="1"/>
  <c r="V154" i="1"/>
  <c r="AD154" i="1" s="1"/>
  <c r="V155" i="1"/>
  <c r="W155" i="1" s="1"/>
  <c r="V156" i="1"/>
  <c r="AD156" i="1" s="1"/>
  <c r="V157" i="1"/>
  <c r="V158" i="1"/>
  <c r="V159" i="1"/>
  <c r="V160" i="1"/>
  <c r="AD160" i="1" s="1"/>
  <c r="V161" i="1"/>
  <c r="V162" i="1"/>
  <c r="AD162" i="1" s="1"/>
  <c r="V163" i="1"/>
  <c r="W163" i="1" s="1"/>
  <c r="V164" i="1"/>
  <c r="AD164" i="1" s="1"/>
  <c r="V165" i="1"/>
  <c r="V166" i="1"/>
  <c r="V167" i="1"/>
  <c r="V168" i="1"/>
  <c r="AD168" i="1" s="1"/>
  <c r="V169" i="1"/>
  <c r="V170" i="1"/>
  <c r="AD170" i="1" s="1"/>
  <c r="V171" i="1"/>
  <c r="W171" i="1" s="1"/>
  <c r="V172" i="1"/>
  <c r="W172" i="1" s="1"/>
  <c r="V173" i="1"/>
  <c r="V174" i="1"/>
  <c r="V175" i="1"/>
  <c r="W175" i="1" s="1"/>
  <c r="V176" i="1"/>
  <c r="AD176" i="1" s="1"/>
  <c r="V177" i="1"/>
  <c r="V178" i="1"/>
  <c r="AD178" i="1" s="1"/>
  <c r="V179" i="1"/>
  <c r="W179" i="1" s="1"/>
  <c r="V180" i="1"/>
  <c r="W180" i="1" s="1"/>
  <c r="V181" i="1"/>
  <c r="V182" i="1"/>
  <c r="V183" i="1"/>
  <c r="V184" i="1"/>
  <c r="AD184" i="1" s="1"/>
  <c r="V185" i="1"/>
  <c r="V186" i="1"/>
  <c r="AD186" i="1" s="1"/>
  <c r="V187" i="1"/>
  <c r="V188" i="1"/>
  <c r="AD188" i="1" s="1"/>
  <c r="V189" i="1"/>
  <c r="W189" i="1" s="1"/>
  <c r="V190" i="1"/>
  <c r="V191" i="1"/>
  <c r="V192" i="1"/>
  <c r="W192" i="1" s="1"/>
  <c r="V193" i="1"/>
  <c r="V194" i="1"/>
  <c r="AD194" i="1" s="1"/>
  <c r="V195" i="1"/>
  <c r="V196" i="1"/>
  <c r="W196" i="1" s="1"/>
  <c r="R196" i="1"/>
  <c r="P24" i="1"/>
  <c r="P41" i="1"/>
  <c r="P44" i="1"/>
  <c r="R44" i="1" s="1"/>
  <c r="P22" i="1"/>
  <c r="P36" i="1"/>
  <c r="P20" i="1"/>
  <c r="R20" i="1" s="1"/>
  <c r="P35" i="1"/>
  <c r="P8" i="1"/>
  <c r="P28" i="1"/>
  <c r="P47" i="1"/>
  <c r="P30" i="1"/>
  <c r="R30" i="1" s="1"/>
  <c r="P15" i="1"/>
  <c r="P32" i="1"/>
  <c r="P62" i="1"/>
  <c r="R62" i="1" s="1"/>
  <c r="P60" i="1"/>
  <c r="P64" i="1"/>
  <c r="P21" i="1"/>
  <c r="P7" i="1"/>
  <c r="P13" i="1"/>
  <c r="R13" i="1" s="1"/>
  <c r="P42" i="1"/>
  <c r="P26" i="1"/>
  <c r="R26" i="1" s="1"/>
  <c r="P43" i="1"/>
  <c r="R43" i="1" s="1"/>
  <c r="P63" i="1"/>
  <c r="P3" i="1"/>
  <c r="R3" i="1" s="1"/>
  <c r="P19" i="1"/>
  <c r="R19" i="1" s="1"/>
  <c r="P58" i="1"/>
  <c r="P61" i="1"/>
  <c r="R61" i="1" s="1"/>
  <c r="P48" i="1"/>
  <c r="P9" i="1"/>
  <c r="R9" i="1" s="1"/>
  <c r="P54" i="1"/>
  <c r="R54" i="1" s="1"/>
  <c r="P40" i="1"/>
  <c r="P53" i="1"/>
  <c r="R53" i="1" s="1"/>
  <c r="P16" i="1"/>
  <c r="R16" i="1" s="1"/>
  <c r="P49" i="1"/>
  <c r="R49" i="1" s="1"/>
  <c r="P10" i="1"/>
  <c r="R10" i="1" s="1"/>
  <c r="P23" i="1"/>
  <c r="P17" i="1"/>
  <c r="P50" i="1"/>
  <c r="R50" i="1" s="1"/>
  <c r="P57" i="1"/>
  <c r="P46" i="1"/>
  <c r="P25" i="1"/>
  <c r="P27" i="1"/>
  <c r="P52" i="1"/>
  <c r="R52" i="1" s="1"/>
  <c r="P29" i="1"/>
  <c r="R29" i="1" s="1"/>
  <c r="P51" i="1"/>
  <c r="P56" i="1"/>
  <c r="R56" i="1" s="1"/>
  <c r="P55" i="1"/>
  <c r="P59" i="1"/>
  <c r="P6" i="1"/>
  <c r="P31" i="1"/>
  <c r="P37" i="1"/>
  <c r="R37" i="1" s="1"/>
  <c r="P45" i="1"/>
  <c r="R45" i="1" s="1"/>
  <c r="P4" i="1"/>
  <c r="P34" i="1"/>
  <c r="R34" i="1" s="1"/>
  <c r="P39" i="1"/>
  <c r="P12" i="1"/>
  <c r="R12" i="1" s="1"/>
  <c r="P38" i="1"/>
  <c r="R38" i="1" s="1"/>
  <c r="P11" i="1"/>
  <c r="P65" i="1"/>
  <c r="P66" i="1"/>
  <c r="P67" i="1"/>
  <c r="P14" i="1"/>
  <c r="R14" i="1" s="1"/>
  <c r="P18" i="1"/>
  <c r="P33" i="1"/>
  <c r="R33" i="1" s="1"/>
  <c r="P92" i="1"/>
  <c r="P70" i="1"/>
  <c r="P76" i="1"/>
  <c r="R76" i="1" s="1"/>
  <c r="P69" i="1"/>
  <c r="P72" i="1"/>
  <c r="P90" i="1"/>
  <c r="R90" i="1" s="1"/>
  <c r="P102" i="1"/>
  <c r="P89" i="1"/>
  <c r="R89" i="1" s="1"/>
  <c r="P83" i="1"/>
  <c r="P88" i="1"/>
  <c r="P105" i="1"/>
  <c r="P106" i="1"/>
  <c r="P103" i="1"/>
  <c r="R103" i="1" s="1"/>
  <c r="P99" i="1"/>
  <c r="R99" i="1" s="1"/>
  <c r="P100" i="1"/>
  <c r="P96" i="1"/>
  <c r="R96" i="1" s="1"/>
  <c r="P104" i="1"/>
  <c r="P71" i="1"/>
  <c r="P85" i="1"/>
  <c r="R85" i="1" s="1"/>
  <c r="P98" i="1"/>
  <c r="P75" i="1"/>
  <c r="P86" i="1"/>
  <c r="R86" i="1" s="1"/>
  <c r="P94" i="1"/>
  <c r="P74" i="1"/>
  <c r="R74" i="1" s="1"/>
  <c r="P84" i="1"/>
  <c r="P93" i="1"/>
  <c r="R93" i="1" s="1"/>
  <c r="P73" i="1"/>
  <c r="P95" i="1"/>
  <c r="P87" i="1"/>
  <c r="R87" i="1" s="1"/>
  <c r="P68" i="1"/>
  <c r="R68" i="1" s="1"/>
  <c r="P80" i="1"/>
  <c r="P91" i="1"/>
  <c r="P79" i="1"/>
  <c r="R79" i="1" s="1"/>
  <c r="P78" i="1"/>
  <c r="R78" i="1" s="1"/>
  <c r="P81" i="1"/>
  <c r="R81" i="1" s="1"/>
  <c r="P77" i="1"/>
  <c r="P82" i="1"/>
  <c r="R82" i="1" s="1"/>
  <c r="P97" i="1"/>
  <c r="R97" i="1" s="1"/>
  <c r="P101" i="1"/>
  <c r="P135" i="1"/>
  <c r="P114" i="1"/>
  <c r="P110" i="1"/>
  <c r="P141" i="1"/>
  <c r="R141" i="1" s="1"/>
  <c r="P124" i="1"/>
  <c r="P113" i="1"/>
  <c r="P120" i="1"/>
  <c r="R120" i="1" s="1"/>
  <c r="P139" i="1"/>
  <c r="P107" i="1"/>
  <c r="P117" i="1"/>
  <c r="P132" i="1"/>
  <c r="R132" i="1" s="1"/>
  <c r="P122" i="1"/>
  <c r="R122" i="1" s="1"/>
  <c r="P136" i="1"/>
  <c r="P121" i="1"/>
  <c r="P125" i="1"/>
  <c r="R125" i="1" s="1"/>
  <c r="P123" i="1"/>
  <c r="P127" i="1"/>
  <c r="R127" i="1" s="1"/>
  <c r="P118" i="1"/>
  <c r="R118" i="1" s="1"/>
  <c r="P119" i="1"/>
  <c r="P129" i="1"/>
  <c r="R129" i="1" s="1"/>
  <c r="P108" i="1"/>
  <c r="P131" i="1"/>
  <c r="P112" i="1"/>
  <c r="R112" i="1" s="1"/>
  <c r="P142" i="1"/>
  <c r="P137" i="1"/>
  <c r="P116" i="1"/>
  <c r="P109" i="1"/>
  <c r="R109" i="1" s="1"/>
  <c r="P111" i="1"/>
  <c r="R111" i="1" s="1"/>
  <c r="P115" i="1"/>
  <c r="P128" i="1"/>
  <c r="P130" i="1"/>
  <c r="R130" i="1" s="1"/>
  <c r="P133" i="1"/>
  <c r="P138" i="1"/>
  <c r="P140" i="1"/>
  <c r="P143" i="1"/>
  <c r="P134" i="1"/>
  <c r="R134" i="1" s="1"/>
  <c r="P126" i="1"/>
  <c r="P144" i="1"/>
  <c r="R144" i="1" s="1"/>
  <c r="P145" i="1"/>
  <c r="R145" i="1" s="1"/>
  <c r="P146" i="1"/>
  <c r="P147" i="1"/>
  <c r="P148" i="1"/>
  <c r="P149" i="1"/>
  <c r="R149" i="1" s="1"/>
  <c r="P150" i="1"/>
  <c r="R150" i="1" s="1"/>
  <c r="P151" i="1"/>
  <c r="P152" i="1"/>
  <c r="P153" i="1"/>
  <c r="P154" i="1"/>
  <c r="P155" i="1"/>
  <c r="R155" i="1" s="1"/>
  <c r="P156" i="1"/>
  <c r="P157" i="1"/>
  <c r="P158" i="1"/>
  <c r="R158" i="1" s="1"/>
  <c r="P159" i="1"/>
  <c r="P160" i="1"/>
  <c r="R160" i="1" s="1"/>
  <c r="P161" i="1"/>
  <c r="R161" i="1" s="1"/>
  <c r="P162" i="1"/>
  <c r="P163" i="1"/>
  <c r="R163" i="1" s="1"/>
  <c r="P164" i="1"/>
  <c r="R164" i="1" s="1"/>
  <c r="P165" i="1"/>
  <c r="R165" i="1" s="1"/>
  <c r="P166" i="1"/>
  <c r="R166" i="1" s="1"/>
  <c r="P167" i="1"/>
  <c r="P168" i="1"/>
  <c r="R168" i="1" s="1"/>
  <c r="P169" i="1"/>
  <c r="R169" i="1" s="1"/>
  <c r="P170" i="1"/>
  <c r="P171" i="1"/>
  <c r="P172" i="1"/>
  <c r="P173" i="1"/>
  <c r="P174" i="1"/>
  <c r="R174" i="1" s="1"/>
  <c r="P175" i="1"/>
  <c r="P176" i="1"/>
  <c r="P177" i="1"/>
  <c r="R177" i="1" s="1"/>
  <c r="P178" i="1"/>
  <c r="P179" i="1"/>
  <c r="P180" i="1"/>
  <c r="P181" i="1"/>
  <c r="R181" i="1" s="1"/>
  <c r="P182" i="1"/>
  <c r="R182" i="1" s="1"/>
  <c r="P183" i="1"/>
  <c r="P184" i="1"/>
  <c r="P185" i="1"/>
  <c r="R185" i="1" s="1"/>
  <c r="P186" i="1"/>
  <c r="P187" i="1"/>
  <c r="P188" i="1"/>
  <c r="R188" i="1" s="1"/>
  <c r="P189" i="1"/>
  <c r="P190" i="1"/>
  <c r="R190" i="1" s="1"/>
  <c r="P191" i="1"/>
  <c r="P192" i="1"/>
  <c r="P193" i="1"/>
  <c r="R193" i="1" s="1"/>
  <c r="P194" i="1"/>
  <c r="P195" i="1"/>
  <c r="R195" i="1" s="1"/>
  <c r="P196" i="1"/>
  <c r="V5" i="1"/>
  <c r="AD5" i="1" s="1"/>
  <c r="P5" i="1"/>
  <c r="R5" i="1" s="1"/>
  <c r="AE194" i="1" l="1"/>
  <c r="AE178" i="1"/>
  <c r="AE146" i="1"/>
  <c r="AE133" i="1"/>
  <c r="AE142" i="1"/>
  <c r="AE123" i="1"/>
  <c r="AE139" i="1"/>
  <c r="AE101" i="1"/>
  <c r="AE80" i="1"/>
  <c r="AE94" i="1"/>
  <c r="AE100" i="1"/>
  <c r="AE102" i="1"/>
  <c r="AE18" i="1"/>
  <c r="AE39" i="1"/>
  <c r="AE55" i="1"/>
  <c r="AE57" i="1"/>
  <c r="AE40" i="1"/>
  <c r="AE63" i="1"/>
  <c r="AE60" i="1"/>
  <c r="AE35" i="1"/>
  <c r="AE186" i="1"/>
  <c r="R40" i="1"/>
  <c r="R186" i="1"/>
  <c r="W123" i="1"/>
  <c r="W35" i="1"/>
  <c r="AE184" i="1"/>
  <c r="AE131" i="1"/>
  <c r="AE121" i="1"/>
  <c r="AE113" i="1"/>
  <c r="AE75" i="1"/>
  <c r="AE72" i="1"/>
  <c r="AE67" i="1"/>
  <c r="AE4" i="1"/>
  <c r="AE51" i="1"/>
  <c r="AE17" i="1"/>
  <c r="AE32" i="1"/>
  <c r="AE36" i="1"/>
  <c r="W80" i="1"/>
  <c r="AD108" i="1"/>
  <c r="AE108" i="1" s="1"/>
  <c r="AE128" i="1"/>
  <c r="AE5" i="1"/>
  <c r="W83" i="1"/>
  <c r="AD98" i="1"/>
  <c r="AE98" i="1" s="1"/>
  <c r="AE176" i="1"/>
  <c r="AE152" i="1"/>
  <c r="W102" i="1"/>
  <c r="AD104" i="1"/>
  <c r="AE104" i="1" s="1"/>
  <c r="R100" i="1"/>
  <c r="W45" i="1"/>
  <c r="AD38" i="1"/>
  <c r="AE38" i="1" s="1"/>
  <c r="R133" i="1"/>
  <c r="W178" i="1"/>
  <c r="W6" i="1"/>
  <c r="AD19" i="1"/>
  <c r="AE19" i="1" s="1"/>
  <c r="W146" i="1"/>
  <c r="W40" i="1"/>
  <c r="AD3" i="1"/>
  <c r="AE3" i="1" s="1"/>
  <c r="R123" i="1"/>
  <c r="W118" i="1"/>
  <c r="W28" i="1"/>
  <c r="AD196" i="1"/>
  <c r="AE196" i="1" s="1"/>
  <c r="R4" i="1"/>
  <c r="AE115" i="1"/>
  <c r="AE69" i="1"/>
  <c r="R121" i="1"/>
  <c r="AD136" i="1"/>
  <c r="AE136" i="1" s="1"/>
  <c r="AD192" i="1"/>
  <c r="AE192" i="1" s="1"/>
  <c r="W5" i="1"/>
  <c r="R184" i="1"/>
  <c r="R128" i="1"/>
  <c r="R102" i="1"/>
  <c r="R35" i="1"/>
  <c r="W126" i="1"/>
  <c r="W84" i="1"/>
  <c r="W69" i="1"/>
  <c r="W55" i="1"/>
  <c r="W22" i="1"/>
  <c r="AD124" i="1"/>
  <c r="AE124" i="1" s="1"/>
  <c r="AD106" i="1"/>
  <c r="AE106" i="1" s="1"/>
  <c r="AD42" i="1"/>
  <c r="AE42" i="1" s="1"/>
  <c r="AE144" i="1"/>
  <c r="R32" i="1"/>
  <c r="AE168" i="1"/>
  <c r="AE126" i="1"/>
  <c r="AE66" i="1"/>
  <c r="W95" i="1"/>
  <c r="W48" i="1"/>
  <c r="R152" i="1"/>
  <c r="R80" i="1"/>
  <c r="R72" i="1"/>
  <c r="R55" i="1"/>
  <c r="W140" i="1"/>
  <c r="W139" i="1"/>
  <c r="W94" i="1"/>
  <c r="W92" i="1"/>
  <c r="W29" i="1"/>
  <c r="W63" i="1"/>
  <c r="W24" i="1"/>
  <c r="AD114" i="1"/>
  <c r="AE114" i="1" s="1"/>
  <c r="AD21" i="1"/>
  <c r="AE21" i="1" s="1"/>
  <c r="AE82" i="1"/>
  <c r="AE84" i="1"/>
  <c r="R139" i="1"/>
  <c r="W133" i="1"/>
  <c r="W18" i="1"/>
  <c r="W25" i="1"/>
  <c r="AD77" i="1"/>
  <c r="AE77" i="1" s="1"/>
  <c r="AD15" i="1"/>
  <c r="AE15" i="1" s="1"/>
  <c r="AE103" i="1"/>
  <c r="AE95" i="1"/>
  <c r="AE45" i="1"/>
  <c r="R178" i="1"/>
  <c r="R142" i="1"/>
  <c r="R113" i="1"/>
  <c r="R75" i="1"/>
  <c r="R18" i="1"/>
  <c r="R63" i="1"/>
  <c r="W194" i="1"/>
  <c r="W115" i="1"/>
  <c r="W66" i="1"/>
  <c r="W57" i="1"/>
  <c r="AD23" i="1"/>
  <c r="AE23" i="1" s="1"/>
  <c r="R194" i="1"/>
  <c r="R176" i="1"/>
  <c r="R146" i="1"/>
  <c r="R131" i="1"/>
  <c r="R67" i="1"/>
  <c r="R17" i="1"/>
  <c r="W188" i="1"/>
  <c r="W142" i="1"/>
  <c r="W101" i="1"/>
  <c r="W100" i="1"/>
  <c r="W60" i="1"/>
  <c r="AD116" i="1"/>
  <c r="AE116" i="1" s="1"/>
  <c r="AD33" i="1"/>
  <c r="AE33" i="1" s="1"/>
  <c r="AD16" i="1"/>
  <c r="AE16" i="1" s="1"/>
  <c r="R192" i="1"/>
  <c r="R101" i="1"/>
  <c r="R66" i="1"/>
  <c r="R60" i="1"/>
  <c r="W186" i="1"/>
  <c r="W39" i="1"/>
  <c r="AD137" i="1"/>
  <c r="AE137" i="1" s="1"/>
  <c r="AD74" i="1"/>
  <c r="AE74" i="1" s="1"/>
  <c r="AD172" i="1"/>
  <c r="AE172" i="1" s="1"/>
  <c r="AE170" i="1"/>
  <c r="W170" i="1"/>
  <c r="R170" i="1"/>
  <c r="W156" i="1"/>
  <c r="AE154" i="1"/>
  <c r="W154" i="1"/>
  <c r="AD155" i="1"/>
  <c r="AE155" i="1" s="1"/>
  <c r="R154" i="1"/>
  <c r="W162" i="1"/>
  <c r="AE162" i="1"/>
  <c r="R162" i="1"/>
  <c r="AE160" i="1"/>
  <c r="R71" i="1"/>
  <c r="R88" i="1"/>
  <c r="R70" i="1"/>
  <c r="R11" i="1"/>
  <c r="R31" i="1"/>
  <c r="R27" i="1"/>
  <c r="R58" i="1"/>
  <c r="R7" i="1"/>
  <c r="R47" i="1"/>
  <c r="R104" i="1"/>
  <c r="R180" i="1"/>
  <c r="R172" i="1"/>
  <c r="R156" i="1"/>
  <c r="AE156" i="1"/>
  <c r="R148" i="1"/>
  <c r="R140" i="1"/>
  <c r="AE140" i="1"/>
  <c r="R116" i="1"/>
  <c r="R117" i="1"/>
  <c r="R114" i="1"/>
  <c r="AE83" i="1"/>
  <c r="R83" i="1"/>
  <c r="AE92" i="1"/>
  <c r="R92" i="1"/>
  <c r="R6" i="1"/>
  <c r="AE6" i="1"/>
  <c r="R25" i="1"/>
  <c r="AE25" i="1"/>
  <c r="R21" i="1"/>
  <c r="R28" i="1"/>
  <c r="AE28" i="1"/>
  <c r="AE24" i="1"/>
  <c r="R24" i="1"/>
  <c r="AE164" i="1"/>
  <c r="AD191" i="1"/>
  <c r="AE191" i="1" s="1"/>
  <c r="W191" i="1"/>
  <c r="AD183" i="1"/>
  <c r="AE183" i="1" s="1"/>
  <c r="W183" i="1"/>
  <c r="AD167" i="1"/>
  <c r="AE167" i="1" s="1"/>
  <c r="W167" i="1"/>
  <c r="AD159" i="1"/>
  <c r="AE159" i="1" s="1"/>
  <c r="W159" i="1"/>
  <c r="AD175" i="1"/>
  <c r="AE175" i="1" s="1"/>
  <c r="AE118" i="1"/>
  <c r="R84" i="1"/>
  <c r="AD190" i="1"/>
  <c r="AE190" i="1" s="1"/>
  <c r="W190" i="1"/>
  <c r="AD182" i="1"/>
  <c r="AE182" i="1" s="1"/>
  <c r="W182" i="1"/>
  <c r="AD174" i="1"/>
  <c r="AE174" i="1" s="1"/>
  <c r="W174" i="1"/>
  <c r="AD166" i="1"/>
  <c r="AE166" i="1" s="1"/>
  <c r="W166" i="1"/>
  <c r="AD158" i="1"/>
  <c r="AE158" i="1" s="1"/>
  <c r="W158" i="1"/>
  <c r="AD150" i="1"/>
  <c r="AE150" i="1" s="1"/>
  <c r="W150" i="1"/>
  <c r="AD134" i="1"/>
  <c r="AE134" i="1" s="1"/>
  <c r="W134" i="1"/>
  <c r="AD111" i="1"/>
  <c r="AE111" i="1" s="1"/>
  <c r="W111" i="1"/>
  <c r="AD129" i="1"/>
  <c r="AE129" i="1" s="1"/>
  <c r="W129" i="1"/>
  <c r="AD122" i="1"/>
  <c r="AE122" i="1" s="1"/>
  <c r="W122" i="1"/>
  <c r="AD141" i="1"/>
  <c r="AE141" i="1" s="1"/>
  <c r="W141" i="1"/>
  <c r="AD81" i="1"/>
  <c r="AE81" i="1" s="1"/>
  <c r="W81" i="1"/>
  <c r="AD73" i="1"/>
  <c r="AE73" i="1" s="1"/>
  <c r="W73" i="1"/>
  <c r="AD85" i="1"/>
  <c r="AE85" i="1" s="1"/>
  <c r="W85" i="1"/>
  <c r="AD105" i="1"/>
  <c r="AE105" i="1" s="1"/>
  <c r="W105" i="1"/>
  <c r="AD76" i="1"/>
  <c r="AE76" i="1" s="1"/>
  <c r="W76" i="1"/>
  <c r="AD65" i="1"/>
  <c r="AE65" i="1" s="1"/>
  <c r="W65" i="1"/>
  <c r="AD37" i="1"/>
  <c r="AE37" i="1" s="1"/>
  <c r="W37" i="1"/>
  <c r="AD52" i="1"/>
  <c r="AE52" i="1" s="1"/>
  <c r="W52" i="1"/>
  <c r="AD10" i="1"/>
  <c r="AE10" i="1" s="1"/>
  <c r="W10" i="1"/>
  <c r="AD61" i="1"/>
  <c r="AE61" i="1" s="1"/>
  <c r="W61" i="1"/>
  <c r="AD13" i="1"/>
  <c r="AE13" i="1" s="1"/>
  <c r="W13" i="1"/>
  <c r="AD30" i="1"/>
  <c r="AE30" i="1" s="1"/>
  <c r="W30" i="1"/>
  <c r="AD44" i="1"/>
  <c r="AE44" i="1" s="1"/>
  <c r="W44" i="1"/>
  <c r="R189" i="1"/>
  <c r="R173" i="1"/>
  <c r="R157" i="1"/>
  <c r="R143" i="1"/>
  <c r="R119" i="1"/>
  <c r="R110" i="1"/>
  <c r="R41" i="1"/>
  <c r="AE188" i="1"/>
  <c r="AD151" i="1"/>
  <c r="AE151" i="1" s="1"/>
  <c r="AE79" i="1"/>
  <c r="AE29" i="1"/>
  <c r="AE48" i="1"/>
  <c r="R48" i="1"/>
  <c r="R15" i="1"/>
  <c r="R95" i="1"/>
  <c r="AD193" i="1"/>
  <c r="AE193" i="1" s="1"/>
  <c r="W193" i="1"/>
  <c r="AD185" i="1"/>
  <c r="AE185" i="1" s="1"/>
  <c r="W185" i="1"/>
  <c r="AD177" i="1"/>
  <c r="AE177" i="1" s="1"/>
  <c r="W177" i="1"/>
  <c r="AD169" i="1"/>
  <c r="AE169" i="1" s="1"/>
  <c r="W169" i="1"/>
  <c r="AD161" i="1"/>
  <c r="AE161" i="1" s="1"/>
  <c r="W161" i="1"/>
  <c r="AD153" i="1"/>
  <c r="AE153" i="1" s="1"/>
  <c r="W153" i="1"/>
  <c r="AD145" i="1"/>
  <c r="AE145" i="1" s="1"/>
  <c r="W145" i="1"/>
  <c r="AD130" i="1"/>
  <c r="AE130" i="1" s="1"/>
  <c r="W130" i="1"/>
  <c r="AD112" i="1"/>
  <c r="AE112" i="1" s="1"/>
  <c r="W112" i="1"/>
  <c r="AD125" i="1"/>
  <c r="AE125" i="1" s="1"/>
  <c r="W125" i="1"/>
  <c r="AD120" i="1"/>
  <c r="AE120" i="1" s="1"/>
  <c r="W120" i="1"/>
  <c r="AD97" i="1"/>
  <c r="AE97" i="1" s="1"/>
  <c r="W97" i="1"/>
  <c r="AD68" i="1"/>
  <c r="AE68" i="1" s="1"/>
  <c r="W68" i="1"/>
  <c r="AD86" i="1"/>
  <c r="AE86" i="1" s="1"/>
  <c r="W86" i="1"/>
  <c r="AD99" i="1"/>
  <c r="AE99" i="1" s="1"/>
  <c r="W99" i="1"/>
  <c r="AD90" i="1"/>
  <c r="AE90" i="1" s="1"/>
  <c r="W90" i="1"/>
  <c r="AD14" i="1"/>
  <c r="AE14" i="1" s="1"/>
  <c r="W14" i="1"/>
  <c r="AD34" i="1"/>
  <c r="AE34" i="1" s="1"/>
  <c r="W34" i="1"/>
  <c r="AD56" i="1"/>
  <c r="AE56" i="1" s="1"/>
  <c r="W56" i="1"/>
  <c r="AD50" i="1"/>
  <c r="AE50" i="1" s="1"/>
  <c r="W50" i="1"/>
  <c r="AD54" i="1"/>
  <c r="AE54" i="1" s="1"/>
  <c r="W54" i="1"/>
  <c r="AD43" i="1"/>
  <c r="AE43" i="1" s="1"/>
  <c r="W43" i="1"/>
  <c r="AD62" i="1"/>
  <c r="AE62" i="1" s="1"/>
  <c r="W62" i="1"/>
  <c r="AD20" i="1"/>
  <c r="AE20" i="1" s="1"/>
  <c r="W20" i="1"/>
  <c r="AD180" i="1"/>
  <c r="AE180" i="1" s="1"/>
  <c r="AD138" i="1"/>
  <c r="AE138" i="1" s="1"/>
  <c r="AD117" i="1"/>
  <c r="AE117" i="1" s="1"/>
  <c r="AD89" i="1"/>
  <c r="AE89" i="1" s="1"/>
  <c r="AD8" i="1"/>
  <c r="AE8" i="1" s="1"/>
  <c r="AE26" i="1"/>
  <c r="R42" i="1"/>
  <c r="AE22" i="1"/>
  <c r="R22" i="1"/>
  <c r="R191" i="1"/>
  <c r="R183" i="1"/>
  <c r="R175" i="1"/>
  <c r="R167" i="1"/>
  <c r="R159" i="1"/>
  <c r="R151" i="1"/>
  <c r="R126" i="1"/>
  <c r="R115" i="1"/>
  <c r="R108" i="1"/>
  <c r="R136" i="1"/>
  <c r="R124" i="1"/>
  <c r="R77" i="1"/>
  <c r="R73" i="1"/>
  <c r="R39" i="1"/>
  <c r="R51" i="1"/>
  <c r="R23" i="1"/>
  <c r="R64" i="1"/>
  <c r="R36" i="1"/>
  <c r="AD179" i="1"/>
  <c r="AE179" i="1" s="1"/>
  <c r="AD107" i="1"/>
  <c r="AE107" i="1" s="1"/>
  <c r="AD59" i="1"/>
  <c r="AE59" i="1" s="1"/>
  <c r="W78" i="1"/>
  <c r="AD78" i="1"/>
  <c r="AE78" i="1" s="1"/>
  <c r="W93" i="1"/>
  <c r="AD93" i="1"/>
  <c r="AE93" i="1" s="1"/>
  <c r="W71" i="1"/>
  <c r="AD71" i="1"/>
  <c r="AE71" i="1" s="1"/>
  <c r="W88" i="1"/>
  <c r="AD88" i="1"/>
  <c r="AE88" i="1" s="1"/>
  <c r="W70" i="1"/>
  <c r="AD70" i="1"/>
  <c r="AE70" i="1" s="1"/>
  <c r="W11" i="1"/>
  <c r="AD11" i="1"/>
  <c r="AE11" i="1" s="1"/>
  <c r="W31" i="1"/>
  <c r="AD31" i="1"/>
  <c r="AE31" i="1" s="1"/>
  <c r="W27" i="1"/>
  <c r="AD27" i="1"/>
  <c r="AE27" i="1" s="1"/>
  <c r="W49" i="1"/>
  <c r="AD49" i="1"/>
  <c r="AE49" i="1" s="1"/>
  <c r="W58" i="1"/>
  <c r="AD58" i="1"/>
  <c r="AE58" i="1" s="1"/>
  <c r="W7" i="1"/>
  <c r="AD7" i="1"/>
  <c r="AE7" i="1" s="1"/>
  <c r="W47" i="1"/>
  <c r="AD47" i="1"/>
  <c r="AE47" i="1" s="1"/>
  <c r="W41" i="1"/>
  <c r="AD41" i="1"/>
  <c r="AE41" i="1" s="1"/>
  <c r="AD171" i="1"/>
  <c r="AE171" i="1" s="1"/>
  <c r="AD148" i="1"/>
  <c r="AE148" i="1" s="1"/>
  <c r="AD135" i="1"/>
  <c r="AE135" i="1" s="1"/>
  <c r="AD46" i="1"/>
  <c r="AE46" i="1" s="1"/>
  <c r="W181" i="1"/>
  <c r="AD181" i="1"/>
  <c r="AE181" i="1" s="1"/>
  <c r="W173" i="1"/>
  <c r="AD173" i="1"/>
  <c r="AE173" i="1" s="1"/>
  <c r="W165" i="1"/>
  <c r="AD165" i="1"/>
  <c r="AE165" i="1" s="1"/>
  <c r="W157" i="1"/>
  <c r="AD157" i="1"/>
  <c r="AE157" i="1" s="1"/>
  <c r="W149" i="1"/>
  <c r="AD149" i="1"/>
  <c r="AE149" i="1" s="1"/>
  <c r="W143" i="1"/>
  <c r="AD143" i="1"/>
  <c r="AE143" i="1" s="1"/>
  <c r="W109" i="1"/>
  <c r="AD109" i="1"/>
  <c r="AE109" i="1" s="1"/>
  <c r="W119" i="1"/>
  <c r="AD119" i="1"/>
  <c r="AE119" i="1" s="1"/>
  <c r="W132" i="1"/>
  <c r="AD132" i="1"/>
  <c r="AE132" i="1" s="1"/>
  <c r="W110" i="1"/>
  <c r="AD110" i="1"/>
  <c r="AE110" i="1" s="1"/>
  <c r="R187" i="1"/>
  <c r="R179" i="1"/>
  <c r="R171" i="1"/>
  <c r="R147" i="1"/>
  <c r="R138" i="1"/>
  <c r="R137" i="1"/>
  <c r="R107" i="1"/>
  <c r="R135" i="1"/>
  <c r="R91" i="1"/>
  <c r="R94" i="1"/>
  <c r="R69" i="1"/>
  <c r="R65" i="1"/>
  <c r="AD147" i="1"/>
  <c r="AE147" i="1" s="1"/>
  <c r="AD96" i="1"/>
  <c r="AE96" i="1" s="1"/>
  <c r="AD64" i="1"/>
  <c r="AE64" i="1" s="1"/>
  <c r="AD189" i="1"/>
  <c r="AE189" i="1" s="1"/>
  <c r="AE87" i="1"/>
  <c r="AE9" i="1"/>
  <c r="R106" i="1"/>
  <c r="R46" i="1"/>
  <c r="W195" i="1"/>
  <c r="AD195" i="1"/>
  <c r="AE195" i="1" s="1"/>
  <c r="W187" i="1"/>
  <c r="AD187" i="1"/>
  <c r="AE187" i="1" s="1"/>
  <c r="W164" i="1"/>
  <c r="W79" i="1"/>
  <c r="AD127" i="1"/>
  <c r="AE127" i="1" s="1"/>
  <c r="AD12" i="1"/>
  <c r="AE12" i="1" s="1"/>
  <c r="R153" i="1"/>
  <c r="R98" i="1"/>
  <c r="R105" i="1"/>
  <c r="R59" i="1"/>
  <c r="R57" i="1"/>
  <c r="R8" i="1"/>
  <c r="AD163" i="1"/>
  <c r="AE163" i="1" s="1"/>
  <c r="AD91" i="1"/>
  <c r="AE91" i="1" s="1"/>
  <c r="AD53" i="1"/>
  <c r="AE53" i="1" s="1"/>
  <c r="W184" i="1"/>
  <c r="W176" i="1"/>
  <c r="W168" i="1"/>
  <c r="W160" i="1"/>
  <c r="W152" i="1"/>
  <c r="W144" i="1"/>
  <c r="W128" i="1"/>
  <c r="W131" i="1"/>
  <c r="W121" i="1"/>
  <c r="W113" i="1"/>
  <c r="W82" i="1"/>
  <c r="W87" i="1"/>
  <c r="W75" i="1"/>
  <c r="W103" i="1"/>
  <c r="W72" i="1"/>
  <c r="W67" i="1"/>
  <c r="W4" i="1"/>
  <c r="W51" i="1"/>
  <c r="W17" i="1"/>
  <c r="W9" i="1"/>
  <c r="W26" i="1"/>
  <c r="W32" i="1"/>
  <c r="W36" i="1"/>
</calcChain>
</file>

<file path=xl/sharedStrings.xml><?xml version="1.0" encoding="utf-8"?>
<sst xmlns="http://schemas.openxmlformats.org/spreadsheetml/2006/main" count="1282" uniqueCount="454">
  <si>
    <t>Please DO NOT Update any blue column</t>
  </si>
  <si>
    <t>NG_KEY</t>
  </si>
  <si>
    <t>Date</t>
  </si>
  <si>
    <t>Region_id</t>
  </si>
  <si>
    <t>Region</t>
  </si>
  <si>
    <t>REGION_OLD</t>
  </si>
  <si>
    <t>Engagement_id</t>
  </si>
  <si>
    <t>COUNTRY_OLD</t>
  </si>
  <si>
    <t>Country</t>
  </si>
  <si>
    <t>Country_id</t>
  </si>
  <si>
    <t>Engagment_Name</t>
  </si>
  <si>
    <t>People_Group ID</t>
  </si>
  <si>
    <t>People_Group</t>
  </si>
  <si>
    <t>DBS</t>
  </si>
  <si>
    <t>COM</t>
  </si>
  <si>
    <t>CAT</t>
  </si>
  <si>
    <t>TOTAL</t>
  </si>
  <si>
    <t>GEN</t>
  </si>
  <si>
    <t>Avg church size</t>
  </si>
  <si>
    <t># New Disciples</t>
  </si>
  <si>
    <t># New Baptisms</t>
  </si>
  <si>
    <t># MBB</t>
  </si>
  <si>
    <t>OTHER CHRIST FOLLOWERS</t>
  </si>
  <si>
    <t>NOTES</t>
  </si>
  <si>
    <t>LEADERS IN TRAINING</t>
  </si>
  <si>
    <t>ACTIVE TRAINERS/COACHES</t>
  </si>
  <si>
    <t># OF TRAININGS HELD IN QUARTER</t>
  </si>
  <si>
    <t>HIGHEST LEVEL OF TRAINING HELD</t>
  </si>
  <si>
    <t>CATEGORY OF TRAINING HELD</t>
  </si>
  <si>
    <t>MBB DECIMAL</t>
  </si>
  <si>
    <t>MB CHS</t>
  </si>
  <si>
    <t>G STATUS</t>
  </si>
  <si>
    <t>PRIORITY</t>
  </si>
  <si>
    <t>LOST CHS</t>
  </si>
  <si>
    <t>MERGED CHS</t>
  </si>
  <si>
    <t>FRANCOPHONE CENTRAL AFRICA</t>
  </si>
  <si>
    <t>CENTRAL FRANCOPHONE</t>
  </si>
  <si>
    <t>CAR</t>
  </si>
  <si>
    <t>Central African Republic</t>
  </si>
  <si>
    <t>Central African Republic-Pygmy</t>
  </si>
  <si>
    <t>Pygmy</t>
  </si>
  <si>
    <t>Central African Republic-Fulani</t>
  </si>
  <si>
    <t>Fulani</t>
  </si>
  <si>
    <t>Central African Republic-Gbaya</t>
  </si>
  <si>
    <t>Gbaya</t>
  </si>
  <si>
    <t>Central African Republic-Banda/ Bandaged</t>
  </si>
  <si>
    <t>Banda/ Bandaged</t>
  </si>
  <si>
    <t>Cameroon</t>
  </si>
  <si>
    <t>Cameroon-Arabs</t>
  </si>
  <si>
    <t>Arabs</t>
  </si>
  <si>
    <t>Central African Republic-Gbanou</t>
  </si>
  <si>
    <t>Gbanou</t>
  </si>
  <si>
    <t>Central African Republic-Nzakara</t>
  </si>
  <si>
    <t>Nzakara</t>
  </si>
  <si>
    <t>Congo DRC</t>
  </si>
  <si>
    <t>Congo, Dem. Rep.</t>
  </si>
  <si>
    <t>Congo, Dem. Rep.-Pygmy</t>
  </si>
  <si>
    <t>Central African Republic-Ronga</t>
  </si>
  <si>
    <t>Ronga</t>
  </si>
  <si>
    <t>Cameroon-Kotoko</t>
  </si>
  <si>
    <t>Kotoko</t>
  </si>
  <si>
    <t>Central African Republic-Ngbougou</t>
  </si>
  <si>
    <t>Ngbougou</t>
  </si>
  <si>
    <t>Chad</t>
  </si>
  <si>
    <t>Chad-Sara-Ngambai</t>
  </si>
  <si>
    <t>Sara-Ngambai</t>
  </si>
  <si>
    <t>Central African Republic-Mandja</t>
  </si>
  <si>
    <t>Mandja</t>
  </si>
  <si>
    <t>Cameroon-Musgum</t>
  </si>
  <si>
    <t>Musgum</t>
  </si>
  <si>
    <t>Central African Republic-Mbimou</t>
  </si>
  <si>
    <t>Mbimou</t>
  </si>
  <si>
    <t>Central African Republic-Sara-Kaba</t>
  </si>
  <si>
    <t>Sara-Kaba</t>
  </si>
  <si>
    <t>Cameroon-Ngambai</t>
  </si>
  <si>
    <t>Ngambai</t>
  </si>
  <si>
    <t>Chad-Fulani</t>
  </si>
  <si>
    <t>Chad-Arabic Baraine</t>
  </si>
  <si>
    <t>Arabic Baraine</t>
  </si>
  <si>
    <t>Chad-Women's Ministry</t>
  </si>
  <si>
    <t>Women's Ministry</t>
  </si>
  <si>
    <t>Chad-Mousgoum</t>
  </si>
  <si>
    <t>Mousgoum</t>
  </si>
  <si>
    <t>Chad-Dadjo</t>
  </si>
  <si>
    <t>Dadjo</t>
  </si>
  <si>
    <t>Cameroon-Kapsiki</t>
  </si>
  <si>
    <t>Kapsiki</t>
  </si>
  <si>
    <t>Cameroon-Moudang</t>
  </si>
  <si>
    <t>Moudang</t>
  </si>
  <si>
    <t>Cameroon-Guiziga</t>
  </si>
  <si>
    <t>Guiziga</t>
  </si>
  <si>
    <t>Cameroon-Mofou</t>
  </si>
  <si>
    <t>Mofou</t>
  </si>
  <si>
    <t>Chad-Mango</t>
  </si>
  <si>
    <t>Mango</t>
  </si>
  <si>
    <t>Chad-Urban</t>
  </si>
  <si>
    <t>Urban</t>
  </si>
  <si>
    <t>Cameroon-Bana</t>
  </si>
  <si>
    <t>Bana</t>
  </si>
  <si>
    <t>Cameroon-Mafa</t>
  </si>
  <si>
    <t>Mafa</t>
  </si>
  <si>
    <t>Cameroon-Peuls</t>
  </si>
  <si>
    <t>Peuls</t>
  </si>
  <si>
    <t>Cameroon-Massa</t>
  </si>
  <si>
    <t>Massa</t>
  </si>
  <si>
    <t>Cameroon-Dii/Mboum and Baya</t>
  </si>
  <si>
    <t>Dii/Mboum and Baya</t>
  </si>
  <si>
    <t>Cameroon-Mbororo (Fulani)</t>
  </si>
  <si>
    <t>Mbororo (Fulani)</t>
  </si>
  <si>
    <t>Cameroon-Toupouri</t>
  </si>
  <si>
    <t>Toupouri</t>
  </si>
  <si>
    <t>Chad-Adjaraye Kenga</t>
  </si>
  <si>
    <t>Adjaraye Kenga</t>
  </si>
  <si>
    <t>Chad-Gor</t>
  </si>
  <si>
    <t>Gor</t>
  </si>
  <si>
    <t>Chad-Ruto Sido</t>
  </si>
  <si>
    <t>Ruto Sido</t>
  </si>
  <si>
    <t>Cameroon-Street boys</t>
  </si>
  <si>
    <t>Street boys</t>
  </si>
  <si>
    <t>Cameroon-Urban Youth</t>
  </si>
  <si>
    <t>Urban Youth</t>
  </si>
  <si>
    <t>Cameroon-Kanuri Mora</t>
  </si>
  <si>
    <t>Kanuri Mora</t>
  </si>
  <si>
    <t>Cameroon-Bamonga</t>
  </si>
  <si>
    <t>Bamonga</t>
  </si>
  <si>
    <t>Chad-Massalit</t>
  </si>
  <si>
    <t>Massalit</t>
  </si>
  <si>
    <t>Chad-Tama</t>
  </si>
  <si>
    <t>Tama</t>
  </si>
  <si>
    <t>Cameroon-Deaf</t>
  </si>
  <si>
    <t>Deaf</t>
  </si>
  <si>
    <t>Cameroon-Nanga/Bibe</t>
  </si>
  <si>
    <t>Nanga/Bibe</t>
  </si>
  <si>
    <t>Cameroon-Lagdo</t>
  </si>
  <si>
    <t>Lagdo</t>
  </si>
  <si>
    <t>Chad-Massa</t>
  </si>
  <si>
    <t>Cameroon-Ndop</t>
  </si>
  <si>
    <t>Ndop</t>
  </si>
  <si>
    <t>Cameroon-Urban Bamenda</t>
  </si>
  <si>
    <t>Urban Bamenda</t>
  </si>
  <si>
    <t>Cameroon-Adjaraye Kenga</t>
  </si>
  <si>
    <t>Cameroon-Gor</t>
  </si>
  <si>
    <t>Cameroon-Ruto</t>
  </si>
  <si>
    <t>Ruto</t>
  </si>
  <si>
    <t>Cameroon-Tchollire</t>
  </si>
  <si>
    <t>Tchollire</t>
  </si>
  <si>
    <t>Chad-Mubi</t>
  </si>
  <si>
    <t>Mubi</t>
  </si>
  <si>
    <t>Central African Republic-Urban Fulani</t>
  </si>
  <si>
    <t>Urban Fulani</t>
  </si>
  <si>
    <t>Congo Rep</t>
  </si>
  <si>
    <t>Congo, Rep.</t>
  </si>
  <si>
    <t>Congo, Rep.-Pygmy</t>
  </si>
  <si>
    <t>Chad-Mouro</t>
  </si>
  <si>
    <t>Mouro</t>
  </si>
  <si>
    <t>Chad-Nomad</t>
  </si>
  <si>
    <t>Nomad</t>
  </si>
  <si>
    <t>Cameroon-Pygmy</t>
  </si>
  <si>
    <t>Congo, Rep.-Bateke</t>
  </si>
  <si>
    <t>Bateke</t>
  </si>
  <si>
    <t>Chad-Kotoko</t>
  </si>
  <si>
    <t>Chad-Maba</t>
  </si>
  <si>
    <t>Maba</t>
  </si>
  <si>
    <t>Central African Republic-Ruto Gaskaye</t>
  </si>
  <si>
    <t>Ruto Gaskaye</t>
  </si>
  <si>
    <t>Congo, Rep.-Pygmy Dongou</t>
  </si>
  <si>
    <t>Pygmy Dongou</t>
  </si>
  <si>
    <t>Congo, Dem. Rep.-Pygmy Kamanyola</t>
  </si>
  <si>
    <t>Pygmy Kamanyola</t>
  </si>
  <si>
    <t>Central African Republic-Pygmy SCAD</t>
  </si>
  <si>
    <t>Pygmy SCAD</t>
  </si>
  <si>
    <t>Cameroon-Bana Guili</t>
  </si>
  <si>
    <t>Bana Guili</t>
  </si>
  <si>
    <t>Gabon</t>
  </si>
  <si>
    <t>Gabon-Fang</t>
  </si>
  <si>
    <t>Fang</t>
  </si>
  <si>
    <t>Cameroon-Pygmy Ndelele</t>
  </si>
  <si>
    <t>Pygmy Ndelele</t>
  </si>
  <si>
    <t>Cameroon-Mun</t>
  </si>
  <si>
    <t>Mun</t>
  </si>
  <si>
    <t>Congo, Rep.-Pygmy Impfondo</t>
  </si>
  <si>
    <t>Pygmy Impfondo</t>
  </si>
  <si>
    <t>Congo, Dem. Rep.-Pygmy Kalehe</t>
  </si>
  <si>
    <t>Pygmy Kalehe</t>
  </si>
  <si>
    <t>Cameroon-Pygmy Mouloundou</t>
  </si>
  <si>
    <t>Pygmy Mouloundou</t>
  </si>
  <si>
    <t>Cameroon-Fang</t>
  </si>
  <si>
    <t>Congo, Rep.-Pygmy Betou</t>
  </si>
  <si>
    <t>Pygmy Betou</t>
  </si>
  <si>
    <t>Congo, Dem. Rep.-Pygmy Misisi</t>
  </si>
  <si>
    <t>Pygmy Misisi</t>
  </si>
  <si>
    <t>Central African Republic-Pygmy SIPLAC</t>
  </si>
  <si>
    <t>Pygmy SIPLAC</t>
  </si>
  <si>
    <t>Cameroon-Pygmy Bang</t>
  </si>
  <si>
    <t>Pygmy Bang</t>
  </si>
  <si>
    <t>Cameroon-Bana Waza</t>
  </si>
  <si>
    <t>Bana Waza</t>
  </si>
  <si>
    <t>Central African Republic-Pygmy Londo</t>
  </si>
  <si>
    <t>Pygmy Londo</t>
  </si>
  <si>
    <t>Central African Republic-Ruto Kaga Bandoro</t>
  </si>
  <si>
    <t>Ruto Kaga Bandoro</t>
  </si>
  <si>
    <t>Central African Republic-Fulani Boda</t>
  </si>
  <si>
    <t>Fulani Boda</t>
  </si>
  <si>
    <t>Chad-Ruto Gururu</t>
  </si>
  <si>
    <t>Ruto Gururu</t>
  </si>
  <si>
    <t>Chad-Arab Turku</t>
  </si>
  <si>
    <t>Arab Turku</t>
  </si>
  <si>
    <t>Chad-Ruto Kukurundja</t>
  </si>
  <si>
    <t>Ruto Kukurundja</t>
  </si>
  <si>
    <t>Cameroon-Kapsiki Amsa</t>
  </si>
  <si>
    <t>Kapsiki Amsa</t>
  </si>
  <si>
    <t>Cameroon-Fulani Maroua</t>
  </si>
  <si>
    <t>Fulani Maroua</t>
  </si>
  <si>
    <t>Gabon-Urban</t>
  </si>
  <si>
    <t>Gabon-Simba</t>
  </si>
  <si>
    <t>Simba</t>
  </si>
  <si>
    <t>Gabon-Pygmy</t>
  </si>
  <si>
    <t>Gabon-Lumbu</t>
  </si>
  <si>
    <t>Lumbu</t>
  </si>
  <si>
    <t>Gabon-Hausa</t>
  </si>
  <si>
    <t>Hausa</t>
  </si>
  <si>
    <t>Chad-Bilala</t>
  </si>
  <si>
    <t>Bilala</t>
  </si>
  <si>
    <t>Chad-Zhakawa</t>
  </si>
  <si>
    <t>Zhakawa</t>
  </si>
  <si>
    <t>Chad-Teda</t>
  </si>
  <si>
    <t>Teda</t>
  </si>
  <si>
    <t>Central African Republic-Mandja Damara</t>
  </si>
  <si>
    <t>Mandja Damara</t>
  </si>
  <si>
    <t>Central African Republic-Pygmy Mbaiki</t>
  </si>
  <si>
    <t>Pygmy Mbaiki</t>
  </si>
  <si>
    <t>Congo, Rep.-Pygmy Mbagomba</t>
  </si>
  <si>
    <t>Pygmy Mbagomba</t>
  </si>
  <si>
    <t>Congo, Rep.-Pygmy Tingama</t>
  </si>
  <si>
    <t>Pygmy Tingama</t>
  </si>
  <si>
    <t>Cameroon-Pygmy Bertoua</t>
  </si>
  <si>
    <t>Pygmy Bertoua</t>
  </si>
  <si>
    <t>Central African Republic-Gbanou Guerengou</t>
  </si>
  <si>
    <t>Gbanou Guerengou</t>
  </si>
  <si>
    <t>Central African Republic-Mandja Mandja</t>
  </si>
  <si>
    <t>Mandja Mandja</t>
  </si>
  <si>
    <t>Central African Republic-Pygmy Bobele</t>
  </si>
  <si>
    <t>Pygmy Bobele</t>
  </si>
  <si>
    <t>Congo, Rep.-Pygmy Liranga</t>
  </si>
  <si>
    <t>Pygmy Liranga</t>
  </si>
  <si>
    <t>Congo, Rep.-Pygmy Mokabi</t>
  </si>
  <si>
    <t>Pygmy Mokabi</t>
  </si>
  <si>
    <t>Central African Republic-Gbanou Bossambelle</t>
  </si>
  <si>
    <t>Gbanou Bossambelle</t>
  </si>
  <si>
    <t>Central African Republic-Mandja Bolassa</t>
  </si>
  <si>
    <t>Mandja Bolassa</t>
  </si>
  <si>
    <t>Central African Republic-Pygmy Baralimon</t>
  </si>
  <si>
    <t>Pygmy Baralimon</t>
  </si>
  <si>
    <t>Congo, Rep.-Pygmy Babongo Kibangou</t>
  </si>
  <si>
    <t>Pygmy Babongo Kibangou</t>
  </si>
  <si>
    <t>Congo, Rep.-Pygmy Mikanya</t>
  </si>
  <si>
    <t>Pygmy Mikanya</t>
  </si>
  <si>
    <t>Congo, Rep.-Pygmy Zanga</t>
  </si>
  <si>
    <t>Pygmy Zanga</t>
  </si>
  <si>
    <t>Cameroon-Pygmy Yokadouma</t>
  </si>
  <si>
    <t>Pygmy Yokadouma</t>
  </si>
  <si>
    <t>Central African Republic-Gbanou Bondokpo</t>
  </si>
  <si>
    <t>Gbanou Bondokpo</t>
  </si>
  <si>
    <t>Congo, Rep.-Pygmy Birao</t>
  </si>
  <si>
    <t>Pygmy Birao</t>
  </si>
  <si>
    <t>Congo, Rep.-Pygmy Manzele</t>
  </si>
  <si>
    <t>Pygmy Manzele</t>
  </si>
  <si>
    <t>Congo, Rep.-Pygmy Mouellet</t>
  </si>
  <si>
    <t>Pygmy Mouellet</t>
  </si>
  <si>
    <t>Central African Republic-Pygmy Boto</t>
  </si>
  <si>
    <t>Pygmy Boto</t>
  </si>
  <si>
    <t>Congo, Rep.-Pygmy Enyele</t>
  </si>
  <si>
    <t>Pygmy Enyele</t>
  </si>
  <si>
    <t>Congo, Rep.-Pygmy Bangombe</t>
  </si>
  <si>
    <t>Pygmy Bangombe</t>
  </si>
  <si>
    <t>Central African Republic-Mandja Ndeo</t>
  </si>
  <si>
    <t>Mandja Ndeo</t>
  </si>
  <si>
    <t>Congo, Rep.-Pygmy Ouesso</t>
  </si>
  <si>
    <t>Pygmy Ouesso</t>
  </si>
  <si>
    <t>Central African Republic-Banda Bourouba</t>
  </si>
  <si>
    <t>Banda Bourouba</t>
  </si>
  <si>
    <t>Congo, Rep.-Pygmy Babongo Komono</t>
  </si>
  <si>
    <t>Pygmy Babongo Komono</t>
  </si>
  <si>
    <t>Cameroon-Pere</t>
  </si>
  <si>
    <t>Pere</t>
  </si>
  <si>
    <t>Congo, Rep.-Bakeke North</t>
  </si>
  <si>
    <t>Bakeke North</t>
  </si>
  <si>
    <t>Ouganda</t>
  </si>
  <si>
    <t>Rwanda</t>
  </si>
  <si>
    <t>Rwanda-Mbuya</t>
  </si>
  <si>
    <t>Mbuya</t>
  </si>
  <si>
    <t>Rwanda-Jinja</t>
  </si>
  <si>
    <t>Jinja</t>
  </si>
  <si>
    <t>Rwanda-Natete</t>
  </si>
  <si>
    <t>Natete</t>
  </si>
  <si>
    <t>Rwanda-Bwonda</t>
  </si>
  <si>
    <t>Bwonda</t>
  </si>
  <si>
    <t>Cameroon-Kwandja</t>
  </si>
  <si>
    <t>Kwandja</t>
  </si>
  <si>
    <t>Equatorial Guinea</t>
  </si>
  <si>
    <t>Equatorial Guinea-Ebebiyin</t>
  </si>
  <si>
    <t>Ebebiyin</t>
  </si>
  <si>
    <t>Rwanda-Bukasa</t>
  </si>
  <si>
    <t>Bukasa</t>
  </si>
  <si>
    <t>Equatorial Guinea-Niefang</t>
  </si>
  <si>
    <t>Niefang</t>
  </si>
  <si>
    <t>Equatorial Guinea-Fang Kio Sy</t>
  </si>
  <si>
    <t>Fang Kio Sy</t>
  </si>
  <si>
    <t>Chad-Fur</t>
  </si>
  <si>
    <t>Fur</t>
  </si>
  <si>
    <t>Cameroon-Mada/Aissa-Harde</t>
  </si>
  <si>
    <t>Mada/Aissa-Harde</t>
  </si>
  <si>
    <t>Cameroon-Pygmy Mabele</t>
  </si>
  <si>
    <t>Pygmy Mabele</t>
  </si>
  <si>
    <t>Cameroon-Mandara Mora</t>
  </si>
  <si>
    <t>Mandara Mora</t>
  </si>
  <si>
    <t>Central African Republic-Maca</t>
  </si>
  <si>
    <t>Maca</t>
  </si>
  <si>
    <t>Cameroon-Pygmy Diako</t>
  </si>
  <si>
    <t>Pygmy Diako</t>
  </si>
  <si>
    <t>Cameroon-Pygmy Salaboumbe</t>
  </si>
  <si>
    <t>Pygmy Salaboumbe</t>
  </si>
  <si>
    <t>Central African Republic-Peuhl/Damara</t>
  </si>
  <si>
    <t>Peuhl/Damara</t>
  </si>
  <si>
    <t>Central African Republic-Londo (village Moale-Bazao)</t>
  </si>
  <si>
    <t>Londo (village Moale-Bazao)</t>
  </si>
  <si>
    <t>Central African Republic-Londo (village Bomole)</t>
  </si>
  <si>
    <t>Londo (village Bomole)</t>
  </si>
  <si>
    <t>Central African Republic-Madja (village Dekoa)</t>
  </si>
  <si>
    <t>Madja (village Dekoa)</t>
  </si>
  <si>
    <t>Central African Republic-Londo (village Bakota)</t>
  </si>
  <si>
    <t>Londo (village Bakota)</t>
  </si>
  <si>
    <t>Central African Republic-Madja (village Sibut)</t>
  </si>
  <si>
    <t>Madja (village Sibut)</t>
  </si>
  <si>
    <t>Cameroon-Pygmy Salaboumbð</t>
  </si>
  <si>
    <t>Pygmy Salaboumbð</t>
  </si>
  <si>
    <t>Cameroon-Sara</t>
  </si>
  <si>
    <t>Sara</t>
  </si>
  <si>
    <t>Cameroon-Bafut</t>
  </si>
  <si>
    <t>Bafut</t>
  </si>
  <si>
    <t>Cameroon-Matal</t>
  </si>
  <si>
    <t>Matal</t>
  </si>
  <si>
    <t>Cameroon-Moura</t>
  </si>
  <si>
    <t>Moura</t>
  </si>
  <si>
    <t>Cameroon-Njong</t>
  </si>
  <si>
    <t>Njong</t>
  </si>
  <si>
    <t>Cameroon-Akom</t>
  </si>
  <si>
    <t>Akom</t>
  </si>
  <si>
    <t>Cameroon-Menka</t>
  </si>
  <si>
    <t>Menka</t>
  </si>
  <si>
    <t>Cameroon-Mufu</t>
  </si>
  <si>
    <t>Mufu</t>
  </si>
  <si>
    <t>Congo, Rep.-Pygmes Mbezele</t>
  </si>
  <si>
    <t>Pygmes Mbezele</t>
  </si>
  <si>
    <t>Cameroon-Batibo</t>
  </si>
  <si>
    <t>Batibo</t>
  </si>
  <si>
    <t>Cameroon-Mouyang</t>
  </si>
  <si>
    <t>Mouyang</t>
  </si>
  <si>
    <t>Congo, Rep.-Urban Muslim</t>
  </si>
  <si>
    <t>Urban Muslim</t>
  </si>
  <si>
    <t xml:space="preserve">Central African Republic-Pygmy Londo </t>
  </si>
  <si>
    <t xml:space="preserve">Pygmy Londo </t>
  </si>
  <si>
    <t xml:space="preserve">Central African Republic-Pygmy SIPLAC </t>
  </si>
  <si>
    <t xml:space="preserve">Pygmy SIPLAC </t>
  </si>
  <si>
    <t xml:space="preserve">Chad-Arab Turku </t>
  </si>
  <si>
    <t xml:space="preserve">Arab Turku </t>
  </si>
  <si>
    <t xml:space="preserve">Chad-Arabic Baraine </t>
  </si>
  <si>
    <t xml:space="preserve">Arabic Baraine </t>
  </si>
  <si>
    <t xml:space="preserve">Chad-Fulani </t>
  </si>
  <si>
    <t xml:space="preserve">Fulani </t>
  </si>
  <si>
    <t xml:space="preserve">Chad-Nomad </t>
  </si>
  <si>
    <t xml:space="preserve">Nomad </t>
  </si>
  <si>
    <t xml:space="preserve">Chad-Ruto Gururu </t>
  </si>
  <si>
    <t xml:space="preserve">Ruto Gururu </t>
  </si>
  <si>
    <t xml:space="preserve">Chad-Ruto Sido </t>
  </si>
  <si>
    <t xml:space="preserve">Ruto Sido </t>
  </si>
  <si>
    <t xml:space="preserve">Chad-Teda </t>
  </si>
  <si>
    <t xml:space="preserve">Teda </t>
  </si>
  <si>
    <t xml:space="preserve">Chad-Urban </t>
  </si>
  <si>
    <t xml:space="preserve">Urban </t>
  </si>
  <si>
    <t xml:space="preserve">Chad-Zhakawa </t>
  </si>
  <si>
    <t xml:space="preserve">Zhakawa </t>
  </si>
  <si>
    <t xml:space="preserve">Congo, Dem. Rep.-Pygmy </t>
  </si>
  <si>
    <t xml:space="preserve">Pygmy </t>
  </si>
  <si>
    <t xml:space="preserve">Congo, Dem. Rep.-Pygmy Kalehe </t>
  </si>
  <si>
    <t xml:space="preserve">Pygmy Kalehe </t>
  </si>
  <si>
    <t xml:space="preserve">Congo, Dem. Rep.-Pygmy Kamanyola </t>
  </si>
  <si>
    <t xml:space="preserve">Pygmy Kamanyola </t>
  </si>
  <si>
    <t xml:space="preserve">Congo, Dem. Rep.-Pygmy Misisi </t>
  </si>
  <si>
    <t xml:space="preserve">Pygmy Misisi </t>
  </si>
  <si>
    <t xml:space="preserve">Congo, Rep.-Bateke </t>
  </si>
  <si>
    <t xml:space="preserve">Bateke </t>
  </si>
  <si>
    <t xml:space="preserve">Congo, Rep.-Pygmy Betou </t>
  </si>
  <si>
    <t xml:space="preserve">Pygmy Betou </t>
  </si>
  <si>
    <t xml:space="preserve">Congo, Rep.-Pygmy Dongou </t>
  </si>
  <si>
    <t xml:space="preserve">Pygmy Dongou </t>
  </si>
  <si>
    <t xml:space="preserve">Congo, Rep.-Pygmy Impfondo </t>
  </si>
  <si>
    <t xml:space="preserve">Pygmy Impfondo </t>
  </si>
  <si>
    <t>Gabon-Pygmy Franceville</t>
  </si>
  <si>
    <t>Pygmy Franceville</t>
  </si>
  <si>
    <t>Gabon-Pygmy Koulamoutou</t>
  </si>
  <si>
    <t>Pygmy Koulamoutou</t>
  </si>
  <si>
    <t>Gabon-Pygmy Lambarene</t>
  </si>
  <si>
    <t>Pygmy Lambarene</t>
  </si>
  <si>
    <t>Congo, Rep.-Pygmy Socalib</t>
  </si>
  <si>
    <t>Pygmy Socalib</t>
  </si>
  <si>
    <t>Congo, Rep.-Pygmy Ngbala</t>
  </si>
  <si>
    <t>Pygmy Ngbala</t>
  </si>
  <si>
    <t>Cameroon-Bangolang</t>
  </si>
  <si>
    <t>Bangolang</t>
  </si>
  <si>
    <t>Cameroon-Wainamah</t>
  </si>
  <si>
    <t>Wainamah</t>
  </si>
  <si>
    <t>Cameroon-Wedikom</t>
  </si>
  <si>
    <t>Wedikom</t>
  </si>
  <si>
    <t>Cameroon-Zoulgo</t>
  </si>
  <si>
    <t>Zoulgo</t>
  </si>
  <si>
    <t>Chad-Sara</t>
  </si>
  <si>
    <t>Chad-Ngama</t>
  </si>
  <si>
    <t>Ngama</t>
  </si>
  <si>
    <t>Cameroon-Dii</t>
  </si>
  <si>
    <t>Dii</t>
  </si>
  <si>
    <t>Cameroon-Gbaya</t>
  </si>
  <si>
    <t>Cameroon-Mboum</t>
  </si>
  <si>
    <t>Mboum</t>
  </si>
  <si>
    <t>MB% as integer, 5% =5; 100%=100; 50%=50</t>
  </si>
  <si>
    <t>DATE</t>
  </si>
  <si>
    <t>REGION</t>
  </si>
  <si>
    <t>COUNTRY</t>
  </si>
  <si>
    <t>PEOPLE GROUP</t>
  </si>
  <si>
    <t>MB % IN Integers-5% =5; 100%=100, etc..</t>
  </si>
  <si>
    <t>NOTES &amp; Raison de non rapport</t>
  </si>
  <si>
    <t>LOST CHURCHES</t>
  </si>
  <si>
    <t>MERGED CHURCHES</t>
  </si>
  <si>
    <t xml:space="preserve">Cameroun  </t>
  </si>
  <si>
    <t xml:space="preserve">Pygmy DJOUM    </t>
  </si>
  <si>
    <t xml:space="preserve">Cameroun </t>
  </si>
  <si>
    <t xml:space="preserve">Pygmy MINTOM   </t>
  </si>
  <si>
    <t>Pygmy MTAN</t>
  </si>
  <si>
    <t>Bambui</t>
  </si>
  <si>
    <t>Sudanese refugees</t>
  </si>
  <si>
    <t>Gbaka Madja Sakayaka</t>
  </si>
  <si>
    <t>Ngbaka Madja Ndara</t>
  </si>
  <si>
    <t>Fulani Boali</t>
  </si>
  <si>
    <t>RITO</t>
  </si>
  <si>
    <t>Kaba Na'a</t>
  </si>
  <si>
    <t>kaba Ndem</t>
  </si>
  <si>
    <t>Youlou</t>
  </si>
  <si>
    <t>Litos</t>
  </si>
  <si>
    <t>Fulani Eastern</t>
  </si>
  <si>
    <t>Ngbaka Ombella</t>
  </si>
  <si>
    <t>Mbomo</t>
  </si>
  <si>
    <t>Mbula</t>
  </si>
  <si>
    <t>Oyola</t>
  </si>
  <si>
    <t>Evinayong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</si>
</sst>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14" fontId="0" fillId="2" borderId="0" xfId="0" applyNumberFormat="1" applyFill="1"/>
    <xf numFmtId="3" fontId="0" fillId="0" borderId="0" xfId="0" applyNumberFormat="1"/>
    <xf numFmtId="0" fontId="1" fillId="0" borderId="0" xfId="0" applyFont="1"/>
    <xf numFmtId="0" fontId="1" fillId="2" borderId="0" xfId="0" applyFont="1" applyFill="1"/>
    <xf numFmtId="0" fontId="0" fillId="2" borderId="0" xfId="0" applyFill="1" applyAlignment="1">
      <alignment vertical="top"/>
    </xf>
    <xf numFmtId="0" fontId="0" fillId="0" borderId="0" xfId="0" quotePrefix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590E6-FF86-4B94-BC62-EFC1AAC15AE5}">
  <dimension ref="A1:AI196"/>
  <sheetViews>
    <sheetView tabSelected="1" topLeftCell="J1" zoomScale="90" zoomScaleNormal="90" workbookViewId="0">
      <selection activeCell="T3" sqref="T3"/>
    </sheetView>
  </sheetViews>
  <sheetFormatPr baseColWidth="10" defaultColWidth="18.58203125" defaultRowHeight="14.25"/>
  <cols>
    <col min="1" max="2" width="10.4140625" customWidth="1"/>
    <col min="3" max="3" width="12.125" customWidth="1"/>
    <col min="4" max="4" width="30" customWidth="1"/>
    <col min="5" max="5" width="23.125" customWidth="1"/>
    <col min="6" max="6" width="17.125" customWidth="1"/>
    <col min="7" max="7" width="17.125" bestFit="1" customWidth="1"/>
    <col min="8" max="8" width="22.58203125" customWidth="1"/>
    <col min="9" max="9" width="13.125" customWidth="1"/>
    <col min="10" max="10" width="49.125" bestFit="1" customWidth="1"/>
    <col min="11" max="11" width="18.58203125" customWidth="1"/>
    <col min="12" max="12" width="22.125" customWidth="1"/>
    <col min="13" max="13" width="7" bestFit="1" customWidth="1"/>
    <col min="14" max="14" width="7.70703125" bestFit="1" customWidth="1"/>
    <col min="15" max="15" width="6.875" bestFit="1" customWidth="1"/>
    <col min="16" max="16" width="8.875" bestFit="1" customWidth="1"/>
    <col min="17" max="17" width="7.2890625" bestFit="1" customWidth="1"/>
    <col min="18" max="18" width="17.125" bestFit="1" customWidth="1"/>
    <col min="19" max="19" width="17.70703125" bestFit="1" customWidth="1"/>
    <col min="20" max="20" width="17.58203125" bestFit="1" customWidth="1"/>
    <col min="21" max="21" width="41" bestFit="1" customWidth="1"/>
    <col min="22" max="22" width="8.58203125" bestFit="1" customWidth="1"/>
    <col min="23" max="23" width="29.125" bestFit="1" customWidth="1"/>
    <col min="24" max="24" width="9.4140625" bestFit="1" customWidth="1"/>
    <col min="25" max="25" width="23.70703125" bestFit="1" customWidth="1"/>
    <col min="26" max="26" width="29.58203125" bestFit="1" customWidth="1"/>
    <col min="27" max="27" width="35.125" bestFit="1" customWidth="1"/>
    <col min="28" max="28" width="35.58203125" bestFit="1" customWidth="1"/>
    <col min="29" max="29" width="31.4140625" bestFit="1" customWidth="1"/>
    <col min="30" max="30" width="16" bestFit="1" customWidth="1"/>
    <col min="31" max="31" width="10.4140625" bestFit="1" customWidth="1"/>
    <col min="32" max="32" width="11.875" bestFit="1" customWidth="1"/>
    <col min="33" max="33" width="11.70703125" bestFit="1" customWidth="1"/>
    <col min="34" max="34" width="12.2890625" bestFit="1" customWidth="1"/>
    <col min="35" max="35" width="15.875" bestFit="1" customWidth="1"/>
  </cols>
  <sheetData>
    <row r="1" spans="1:35">
      <c r="B1" s="8" t="s">
        <v>0</v>
      </c>
      <c r="C1" s="8"/>
      <c r="D1" s="8"/>
      <c r="E1" s="8"/>
      <c r="F1" s="8"/>
      <c r="G1" s="8"/>
      <c r="H1" s="8"/>
      <c r="I1" s="8"/>
      <c r="J1" s="8"/>
      <c r="K1" s="8"/>
      <c r="L1" s="8"/>
    </row>
    <row r="2" spans="1:35" s="4" customFormat="1" ht="14.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424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  <c r="AF2" s="4" t="s">
        <v>31</v>
      </c>
      <c r="AG2" s="4" t="s">
        <v>32</v>
      </c>
      <c r="AH2" s="4" t="s">
        <v>33</v>
      </c>
      <c r="AI2" s="4" t="s">
        <v>34</v>
      </c>
    </row>
    <row r="3" spans="1:35">
      <c r="A3">
        <v>10349</v>
      </c>
      <c r="B3" s="2">
        <v>46022</v>
      </c>
      <c r="C3" s="1">
        <v>6</v>
      </c>
      <c r="D3" s="1" t="s">
        <v>35</v>
      </c>
      <c r="E3" s="1" t="s">
        <v>36</v>
      </c>
      <c r="F3" s="1">
        <v>10350</v>
      </c>
      <c r="G3" s="1" t="s">
        <v>47</v>
      </c>
      <c r="H3" s="1" t="s">
        <v>47</v>
      </c>
      <c r="I3" s="1">
        <v>30</v>
      </c>
      <c r="J3" s="1" t="s">
        <v>140</v>
      </c>
      <c r="K3" s="1" t="e">
        <v>#N/A</v>
      </c>
      <c r="L3" s="1" t="s">
        <v>112</v>
      </c>
      <c r="P3">
        <f t="shared" ref="P3:P20" si="0">SUM(N4:O4)</f>
        <v>3</v>
      </c>
      <c r="R3">
        <f t="shared" ref="R3:R21" si="1">S3/P3</f>
        <v>0</v>
      </c>
      <c r="V3">
        <f t="shared" ref="V3:V21" si="2">ROUND(SUM(U3*T3)/100,0)</f>
        <v>0</v>
      </c>
      <c r="W3">
        <f t="shared" ref="W3:W21" si="3">ROUND(SUM(S3-V3),0)</f>
        <v>0</v>
      </c>
      <c r="AD3">
        <f t="shared" ref="AD3:AD34" si="4">SUM(V3/100)</f>
        <v>0</v>
      </c>
      <c r="AE3">
        <f t="shared" ref="AE3:AE34" si="5">ROUND(SUM(P3*AD3),0)</f>
        <v>0</v>
      </c>
    </row>
    <row r="4" spans="1:35">
      <c r="A4">
        <v>10731</v>
      </c>
      <c r="B4" s="2">
        <v>46022</v>
      </c>
      <c r="C4" s="1">
        <v>6</v>
      </c>
      <c r="D4" s="1" t="s">
        <v>35</v>
      </c>
      <c r="E4" s="1" t="s">
        <v>36</v>
      </c>
      <c r="F4" s="1">
        <v>10732</v>
      </c>
      <c r="G4" s="1" t="s">
        <v>47</v>
      </c>
      <c r="H4" s="1" t="s">
        <v>47</v>
      </c>
      <c r="I4" s="1">
        <v>30</v>
      </c>
      <c r="J4" s="1" t="s">
        <v>346</v>
      </c>
      <c r="K4" s="1" t="e">
        <v>#N/A</v>
      </c>
      <c r="L4" s="1" t="s">
        <v>347</v>
      </c>
      <c r="M4">
        <v>3</v>
      </c>
      <c r="N4">
        <v>2</v>
      </c>
      <c r="O4">
        <v>1</v>
      </c>
      <c r="P4">
        <f t="shared" si="0"/>
        <v>3</v>
      </c>
      <c r="Q4">
        <v>2</v>
      </c>
      <c r="R4">
        <f t="shared" si="1"/>
        <v>18</v>
      </c>
      <c r="S4">
        <v>54</v>
      </c>
      <c r="T4">
        <v>6</v>
      </c>
      <c r="V4">
        <f t="shared" si="2"/>
        <v>0</v>
      </c>
      <c r="W4">
        <f t="shared" si="3"/>
        <v>54</v>
      </c>
      <c r="Y4">
        <v>7</v>
      </c>
      <c r="Z4">
        <v>3</v>
      </c>
      <c r="AD4">
        <f t="shared" si="4"/>
        <v>0</v>
      </c>
      <c r="AE4">
        <f t="shared" si="5"/>
        <v>0</v>
      </c>
      <c r="AH4">
        <v>0</v>
      </c>
      <c r="AI4">
        <v>0</v>
      </c>
    </row>
    <row r="5" spans="1:35">
      <c r="A5">
        <v>10087</v>
      </c>
      <c r="B5" s="2">
        <v>46022</v>
      </c>
      <c r="C5" s="1">
        <v>6</v>
      </c>
      <c r="D5" s="1" t="s">
        <v>35</v>
      </c>
      <c r="E5" s="1" t="s">
        <v>36</v>
      </c>
      <c r="F5" s="1">
        <v>10088</v>
      </c>
      <c r="G5" s="1" t="s">
        <v>47</v>
      </c>
      <c r="H5" s="1" t="s">
        <v>47</v>
      </c>
      <c r="I5" s="1">
        <v>30</v>
      </c>
      <c r="J5" s="1" t="s">
        <v>48</v>
      </c>
      <c r="K5" s="1" t="e">
        <v>#N/A</v>
      </c>
      <c r="L5" s="1" t="s">
        <v>49</v>
      </c>
      <c r="M5">
        <v>2</v>
      </c>
      <c r="N5">
        <v>2</v>
      </c>
      <c r="O5">
        <v>1</v>
      </c>
      <c r="P5">
        <f t="shared" si="0"/>
        <v>2</v>
      </c>
      <c r="Q5">
        <v>1</v>
      </c>
      <c r="R5">
        <f t="shared" si="1"/>
        <v>1</v>
      </c>
      <c r="S5">
        <v>2</v>
      </c>
      <c r="T5">
        <v>0</v>
      </c>
      <c r="V5">
        <f t="shared" si="2"/>
        <v>0</v>
      </c>
      <c r="W5">
        <f t="shared" si="3"/>
        <v>2</v>
      </c>
      <c r="Y5">
        <v>2</v>
      </c>
      <c r="Z5">
        <v>1</v>
      </c>
      <c r="AD5">
        <f t="shared" si="4"/>
        <v>0</v>
      </c>
      <c r="AE5">
        <f t="shared" si="5"/>
        <v>0</v>
      </c>
      <c r="AH5">
        <v>0</v>
      </c>
      <c r="AI5">
        <v>0</v>
      </c>
    </row>
    <row r="6" spans="1:35">
      <c r="A6">
        <v>10723</v>
      </c>
      <c r="B6" s="2">
        <v>46022</v>
      </c>
      <c r="C6" s="1">
        <v>6</v>
      </c>
      <c r="D6" s="1" t="s">
        <v>35</v>
      </c>
      <c r="E6" s="1" t="s">
        <v>36</v>
      </c>
      <c r="F6" s="1">
        <v>10724</v>
      </c>
      <c r="G6" s="1" t="s">
        <v>47</v>
      </c>
      <c r="H6" s="1" t="s">
        <v>47</v>
      </c>
      <c r="I6" s="1">
        <v>30</v>
      </c>
      <c r="J6" s="1" t="s">
        <v>338</v>
      </c>
      <c r="K6" s="1" t="e">
        <v>#N/A</v>
      </c>
      <c r="L6" s="1" t="s">
        <v>339</v>
      </c>
      <c r="M6">
        <v>2</v>
      </c>
      <c r="N6">
        <v>2</v>
      </c>
      <c r="O6">
        <v>0</v>
      </c>
      <c r="P6">
        <f t="shared" si="0"/>
        <v>0</v>
      </c>
      <c r="Q6">
        <v>1</v>
      </c>
      <c r="R6" t="e">
        <f t="shared" si="1"/>
        <v>#DIV/0!</v>
      </c>
      <c r="S6">
        <v>14</v>
      </c>
      <c r="T6">
        <v>3</v>
      </c>
      <c r="V6">
        <f t="shared" si="2"/>
        <v>0</v>
      </c>
      <c r="W6">
        <f t="shared" si="3"/>
        <v>14</v>
      </c>
      <c r="Y6">
        <v>5</v>
      </c>
      <c r="Z6">
        <v>4</v>
      </c>
      <c r="AD6">
        <f t="shared" si="4"/>
        <v>0</v>
      </c>
      <c r="AE6">
        <f t="shared" si="5"/>
        <v>0</v>
      </c>
      <c r="AH6">
        <v>0</v>
      </c>
      <c r="AI6">
        <v>0</v>
      </c>
    </row>
    <row r="7" spans="1:35">
      <c r="A7">
        <v>10334</v>
      </c>
      <c r="B7" s="2">
        <v>46022</v>
      </c>
      <c r="C7" s="1">
        <v>6</v>
      </c>
      <c r="D7" s="1" t="s">
        <v>35</v>
      </c>
      <c r="E7" s="1" t="s">
        <v>36</v>
      </c>
      <c r="F7" s="1">
        <v>10335</v>
      </c>
      <c r="G7" s="1" t="s">
        <v>47</v>
      </c>
      <c r="H7" s="1" t="s">
        <v>47</v>
      </c>
      <c r="I7" s="1">
        <v>30</v>
      </c>
      <c r="J7" s="1" t="s">
        <v>123</v>
      </c>
      <c r="K7" s="1" t="e">
        <v>#N/A</v>
      </c>
      <c r="L7" s="1" t="s">
        <v>124</v>
      </c>
      <c r="P7">
        <f t="shared" si="0"/>
        <v>20</v>
      </c>
      <c r="R7">
        <f t="shared" si="1"/>
        <v>0</v>
      </c>
      <c r="V7">
        <f t="shared" si="2"/>
        <v>0</v>
      </c>
      <c r="W7">
        <f t="shared" si="3"/>
        <v>0</v>
      </c>
      <c r="AD7">
        <f t="shared" si="4"/>
        <v>0</v>
      </c>
      <c r="AE7">
        <f t="shared" si="5"/>
        <v>0</v>
      </c>
    </row>
    <row r="8" spans="1:35">
      <c r="A8">
        <v>10312</v>
      </c>
      <c r="B8" s="2">
        <v>46022</v>
      </c>
      <c r="C8" s="1">
        <v>6</v>
      </c>
      <c r="D8" s="1" t="s">
        <v>35</v>
      </c>
      <c r="E8" s="1" t="s">
        <v>36</v>
      </c>
      <c r="F8" s="1">
        <v>10313</v>
      </c>
      <c r="G8" s="1" t="s">
        <v>47</v>
      </c>
      <c r="H8" s="1" t="s">
        <v>47</v>
      </c>
      <c r="I8" s="1">
        <v>30</v>
      </c>
      <c r="J8" s="1" t="s">
        <v>97</v>
      </c>
      <c r="K8" s="1" t="e">
        <v>#N/A</v>
      </c>
      <c r="L8" s="1" t="s">
        <v>98</v>
      </c>
      <c r="M8">
        <v>30</v>
      </c>
      <c r="N8">
        <v>12</v>
      </c>
      <c r="O8">
        <v>8</v>
      </c>
      <c r="P8">
        <f t="shared" si="0"/>
        <v>21</v>
      </c>
      <c r="Q8">
        <v>3</v>
      </c>
      <c r="R8">
        <f t="shared" si="1"/>
        <v>3.4285714285714284</v>
      </c>
      <c r="S8">
        <v>72</v>
      </c>
      <c r="T8">
        <v>0</v>
      </c>
      <c r="V8">
        <f t="shared" si="2"/>
        <v>0</v>
      </c>
      <c r="W8">
        <f t="shared" si="3"/>
        <v>72</v>
      </c>
      <c r="Y8">
        <v>14</v>
      </c>
      <c r="Z8">
        <v>10</v>
      </c>
      <c r="AD8">
        <f t="shared" si="4"/>
        <v>0</v>
      </c>
      <c r="AE8">
        <f t="shared" si="5"/>
        <v>0</v>
      </c>
      <c r="AH8">
        <v>4</v>
      </c>
      <c r="AI8">
        <v>0</v>
      </c>
    </row>
    <row r="9" spans="1:35">
      <c r="A9">
        <v>10442</v>
      </c>
      <c r="B9" s="2">
        <v>46022</v>
      </c>
      <c r="C9" s="1">
        <v>6</v>
      </c>
      <c r="D9" s="1" t="s">
        <v>35</v>
      </c>
      <c r="E9" s="1" t="s">
        <v>36</v>
      </c>
      <c r="F9" s="1">
        <v>10443</v>
      </c>
      <c r="G9" s="1" t="s">
        <v>47</v>
      </c>
      <c r="H9" s="1" t="s">
        <v>47</v>
      </c>
      <c r="I9" s="1">
        <v>30</v>
      </c>
      <c r="J9" s="1" t="s">
        <v>171</v>
      </c>
      <c r="K9" s="1" t="e">
        <v>#N/A</v>
      </c>
      <c r="L9" s="1" t="s">
        <v>172</v>
      </c>
      <c r="M9">
        <v>17</v>
      </c>
      <c r="N9">
        <v>8</v>
      </c>
      <c r="O9">
        <v>13</v>
      </c>
      <c r="P9">
        <f t="shared" si="0"/>
        <v>6</v>
      </c>
      <c r="Q9">
        <v>6</v>
      </c>
      <c r="R9">
        <f t="shared" si="1"/>
        <v>7.166666666666667</v>
      </c>
      <c r="S9">
        <v>43</v>
      </c>
      <c r="T9">
        <v>16</v>
      </c>
      <c r="V9">
        <f t="shared" si="2"/>
        <v>0</v>
      </c>
      <c r="W9">
        <f t="shared" si="3"/>
        <v>43</v>
      </c>
      <c r="Y9">
        <v>8</v>
      </c>
      <c r="Z9">
        <v>5</v>
      </c>
      <c r="AD9">
        <f t="shared" si="4"/>
        <v>0</v>
      </c>
      <c r="AE9">
        <f t="shared" si="5"/>
        <v>0</v>
      </c>
      <c r="AH9">
        <v>0</v>
      </c>
      <c r="AI9">
        <v>0</v>
      </c>
    </row>
    <row r="10" spans="1:35">
      <c r="A10">
        <v>10463</v>
      </c>
      <c r="B10" s="2">
        <v>46022</v>
      </c>
      <c r="C10" s="1">
        <v>6</v>
      </c>
      <c r="D10" s="1" t="s">
        <v>35</v>
      </c>
      <c r="E10" s="1" t="s">
        <v>36</v>
      </c>
      <c r="F10" s="1">
        <v>10464</v>
      </c>
      <c r="G10" s="1" t="s">
        <v>47</v>
      </c>
      <c r="H10" s="1" t="s">
        <v>47</v>
      </c>
      <c r="I10" s="1">
        <v>30</v>
      </c>
      <c r="J10" s="1" t="s">
        <v>195</v>
      </c>
      <c r="K10" s="1" t="e">
        <v>#N/A</v>
      </c>
      <c r="L10" s="1" t="s">
        <v>196</v>
      </c>
      <c r="M10">
        <v>6</v>
      </c>
      <c r="N10">
        <v>4</v>
      </c>
      <c r="O10">
        <v>2</v>
      </c>
      <c r="P10">
        <f t="shared" si="0"/>
        <v>0</v>
      </c>
      <c r="Q10">
        <v>6</v>
      </c>
      <c r="R10" t="e">
        <f t="shared" si="1"/>
        <v>#DIV/0!</v>
      </c>
      <c r="S10">
        <v>30</v>
      </c>
      <c r="T10">
        <v>0</v>
      </c>
      <c r="V10">
        <f t="shared" si="2"/>
        <v>0</v>
      </c>
      <c r="W10">
        <f t="shared" si="3"/>
        <v>30</v>
      </c>
      <c r="Y10">
        <v>1</v>
      </c>
      <c r="Z10">
        <v>4</v>
      </c>
      <c r="AD10">
        <f t="shared" si="4"/>
        <v>0</v>
      </c>
      <c r="AE10">
        <f t="shared" si="5"/>
        <v>0</v>
      </c>
      <c r="AH10">
        <v>0</v>
      </c>
      <c r="AI10">
        <v>0</v>
      </c>
    </row>
    <row r="11" spans="1:35">
      <c r="A11">
        <v>10805</v>
      </c>
      <c r="B11" s="2">
        <v>46022</v>
      </c>
      <c r="C11" s="1">
        <v>6</v>
      </c>
      <c r="D11" s="1" t="s">
        <v>35</v>
      </c>
      <c r="E11" s="1" t="s">
        <v>36</v>
      </c>
      <c r="F11" s="1">
        <v>10806</v>
      </c>
      <c r="G11" s="1" t="s">
        <v>47</v>
      </c>
      <c r="H11" s="1" t="s">
        <v>47</v>
      </c>
      <c r="I11" s="1">
        <v>30</v>
      </c>
      <c r="J11" s="1" t="s">
        <v>408</v>
      </c>
      <c r="K11" s="1" t="e">
        <v>#N/A</v>
      </c>
      <c r="L11" s="1" t="s">
        <v>409</v>
      </c>
      <c r="P11">
        <f t="shared" si="0"/>
        <v>3</v>
      </c>
      <c r="R11">
        <f t="shared" si="1"/>
        <v>0</v>
      </c>
      <c r="V11">
        <f t="shared" si="2"/>
        <v>0</v>
      </c>
      <c r="W11">
        <f t="shared" si="3"/>
        <v>0</v>
      </c>
      <c r="AD11">
        <f t="shared" si="4"/>
        <v>0</v>
      </c>
      <c r="AE11">
        <f t="shared" si="5"/>
        <v>0</v>
      </c>
    </row>
    <row r="12" spans="1:35">
      <c r="A12">
        <v>10740</v>
      </c>
      <c r="B12" s="2">
        <v>46022</v>
      </c>
      <c r="C12" s="1">
        <v>6</v>
      </c>
      <c r="D12" s="1" t="s">
        <v>35</v>
      </c>
      <c r="E12" s="1" t="s">
        <v>36</v>
      </c>
      <c r="F12" s="1">
        <v>10741</v>
      </c>
      <c r="G12" s="1" t="s">
        <v>47</v>
      </c>
      <c r="H12" s="1" t="s">
        <v>47</v>
      </c>
      <c r="I12" s="1">
        <v>30</v>
      </c>
      <c r="J12" s="1" t="s">
        <v>354</v>
      </c>
      <c r="K12" s="1" t="e">
        <v>#N/A</v>
      </c>
      <c r="L12" s="1" t="s">
        <v>355</v>
      </c>
      <c r="M12">
        <v>3</v>
      </c>
      <c r="N12">
        <v>1</v>
      </c>
      <c r="O12">
        <v>2</v>
      </c>
      <c r="P12">
        <f t="shared" si="0"/>
        <v>0</v>
      </c>
      <c r="Q12">
        <v>2</v>
      </c>
      <c r="R12" t="e">
        <f t="shared" si="1"/>
        <v>#DIV/0!</v>
      </c>
      <c r="S12">
        <v>178</v>
      </c>
      <c r="T12">
        <v>10</v>
      </c>
      <c r="V12">
        <f t="shared" si="2"/>
        <v>0</v>
      </c>
      <c r="W12">
        <f t="shared" si="3"/>
        <v>178</v>
      </c>
      <c r="Y12">
        <v>4</v>
      </c>
      <c r="Z12">
        <v>5</v>
      </c>
      <c r="AD12">
        <f t="shared" si="4"/>
        <v>0</v>
      </c>
      <c r="AE12">
        <f t="shared" si="5"/>
        <v>0</v>
      </c>
      <c r="AH12">
        <v>0</v>
      </c>
      <c r="AI12">
        <v>0</v>
      </c>
    </row>
    <row r="13" spans="1:35">
      <c r="A13">
        <v>10340</v>
      </c>
      <c r="B13" s="2">
        <v>46022</v>
      </c>
      <c r="C13" s="1">
        <v>6</v>
      </c>
      <c r="D13" s="1" t="s">
        <v>35</v>
      </c>
      <c r="E13" s="1" t="s">
        <v>36</v>
      </c>
      <c r="F13" s="1">
        <v>10341</v>
      </c>
      <c r="G13" s="1" t="s">
        <v>47</v>
      </c>
      <c r="H13" s="1" t="s">
        <v>47</v>
      </c>
      <c r="I13" s="1">
        <v>30</v>
      </c>
      <c r="J13" s="1" t="s">
        <v>129</v>
      </c>
      <c r="K13" s="1">
        <v>4260</v>
      </c>
      <c r="L13" s="6" t="s">
        <v>130</v>
      </c>
      <c r="P13">
        <f t="shared" si="0"/>
        <v>9</v>
      </c>
      <c r="R13">
        <f t="shared" si="1"/>
        <v>0</v>
      </c>
      <c r="V13">
        <f t="shared" si="2"/>
        <v>0</v>
      </c>
      <c r="W13">
        <f t="shared" si="3"/>
        <v>0</v>
      </c>
      <c r="AD13">
        <f t="shared" si="4"/>
        <v>0</v>
      </c>
      <c r="AE13">
        <f t="shared" si="5"/>
        <v>0</v>
      </c>
    </row>
    <row r="14" spans="1:35">
      <c r="A14">
        <v>10818</v>
      </c>
      <c r="B14" s="2">
        <v>46022</v>
      </c>
      <c r="C14" s="1">
        <v>6</v>
      </c>
      <c r="D14" s="1" t="s">
        <v>35</v>
      </c>
      <c r="E14" s="1" t="s">
        <v>36</v>
      </c>
      <c r="F14" s="1">
        <v>12219</v>
      </c>
      <c r="G14" s="1" t="s">
        <v>47</v>
      </c>
      <c r="H14" s="1" t="s">
        <v>47</v>
      </c>
      <c r="I14" s="1">
        <v>30</v>
      </c>
      <c r="J14" s="1" t="s">
        <v>419</v>
      </c>
      <c r="K14" s="1">
        <v>4612</v>
      </c>
      <c r="L14" s="1" t="s">
        <v>420</v>
      </c>
      <c r="M14">
        <v>7</v>
      </c>
      <c r="N14">
        <v>3</v>
      </c>
      <c r="O14">
        <v>6</v>
      </c>
      <c r="P14">
        <f t="shared" si="0"/>
        <v>0</v>
      </c>
      <c r="Q14">
        <v>2</v>
      </c>
      <c r="R14" t="e">
        <f t="shared" si="1"/>
        <v>#DIV/0!</v>
      </c>
      <c r="S14">
        <v>42</v>
      </c>
      <c r="T14">
        <v>9</v>
      </c>
      <c r="V14">
        <f t="shared" si="2"/>
        <v>0</v>
      </c>
      <c r="W14">
        <f t="shared" si="3"/>
        <v>42</v>
      </c>
      <c r="Y14">
        <v>4</v>
      </c>
      <c r="Z14">
        <v>24</v>
      </c>
      <c r="AD14">
        <f t="shared" si="4"/>
        <v>0</v>
      </c>
      <c r="AE14">
        <f t="shared" si="5"/>
        <v>0</v>
      </c>
      <c r="AH14">
        <v>0</v>
      </c>
      <c r="AI14">
        <v>0</v>
      </c>
    </row>
    <row r="15" spans="1:35">
      <c r="A15">
        <v>10318</v>
      </c>
      <c r="B15" s="2">
        <v>46022</v>
      </c>
      <c r="C15" s="1">
        <v>6</v>
      </c>
      <c r="D15" s="1" t="s">
        <v>35</v>
      </c>
      <c r="E15" s="1" t="s">
        <v>36</v>
      </c>
      <c r="F15" s="1">
        <v>10319</v>
      </c>
      <c r="G15" s="1" t="s">
        <v>47</v>
      </c>
      <c r="H15" s="1" t="s">
        <v>47</v>
      </c>
      <c r="I15" s="1">
        <v>30</v>
      </c>
      <c r="J15" s="1" t="s">
        <v>105</v>
      </c>
      <c r="K15" s="1" t="e">
        <v>#N/A</v>
      </c>
      <c r="L15" s="1" t="s">
        <v>106</v>
      </c>
      <c r="P15">
        <f t="shared" si="0"/>
        <v>0</v>
      </c>
      <c r="R15" t="e">
        <f t="shared" si="1"/>
        <v>#DIV/0!</v>
      </c>
      <c r="V15">
        <f t="shared" si="2"/>
        <v>0</v>
      </c>
      <c r="W15">
        <f t="shared" si="3"/>
        <v>0</v>
      </c>
      <c r="AD15">
        <f t="shared" si="4"/>
        <v>0</v>
      </c>
      <c r="AE15">
        <f t="shared" si="5"/>
        <v>0</v>
      </c>
    </row>
    <row r="16" spans="1:35">
      <c r="A16">
        <v>10454</v>
      </c>
      <c r="B16" s="2">
        <v>46022</v>
      </c>
      <c r="C16" s="1">
        <v>6</v>
      </c>
      <c r="D16" s="1" t="s">
        <v>35</v>
      </c>
      <c r="E16" s="1" t="s">
        <v>36</v>
      </c>
      <c r="F16" s="1">
        <v>10455</v>
      </c>
      <c r="G16" s="1" t="s">
        <v>47</v>
      </c>
      <c r="H16" s="1" t="s">
        <v>47</v>
      </c>
      <c r="I16" s="1">
        <v>30</v>
      </c>
      <c r="J16" s="1" t="s">
        <v>186</v>
      </c>
      <c r="K16" s="1" t="e">
        <v>#N/A</v>
      </c>
      <c r="L16" s="1" t="s">
        <v>175</v>
      </c>
      <c r="P16">
        <f t="shared" si="0"/>
        <v>0</v>
      </c>
      <c r="R16" t="e">
        <f t="shared" si="1"/>
        <v>#DIV/0!</v>
      </c>
      <c r="V16">
        <f t="shared" si="2"/>
        <v>0</v>
      </c>
      <c r="W16">
        <f t="shared" si="3"/>
        <v>0</v>
      </c>
      <c r="AD16">
        <f t="shared" si="4"/>
        <v>0</v>
      </c>
      <c r="AE16">
        <f t="shared" si="5"/>
        <v>0</v>
      </c>
    </row>
    <row r="17" spans="1:35">
      <c r="A17">
        <v>10518</v>
      </c>
      <c r="B17" s="2">
        <v>46022</v>
      </c>
      <c r="C17" s="1">
        <v>6</v>
      </c>
      <c r="D17" s="1" t="s">
        <v>35</v>
      </c>
      <c r="E17" s="1" t="s">
        <v>36</v>
      </c>
      <c r="F17" s="1">
        <v>10519</v>
      </c>
      <c r="G17" s="1" t="s">
        <v>47</v>
      </c>
      <c r="H17" s="1" t="s">
        <v>47</v>
      </c>
      <c r="I17" s="1">
        <v>30</v>
      </c>
      <c r="J17" s="1" t="s">
        <v>211</v>
      </c>
      <c r="K17" s="1" t="e">
        <v>#N/A</v>
      </c>
      <c r="L17" s="1" t="s">
        <v>212</v>
      </c>
      <c r="P17">
        <f t="shared" si="0"/>
        <v>2</v>
      </c>
      <c r="R17">
        <f t="shared" si="1"/>
        <v>0</v>
      </c>
      <c r="V17">
        <f t="shared" si="2"/>
        <v>0</v>
      </c>
      <c r="W17">
        <f t="shared" si="3"/>
        <v>0</v>
      </c>
      <c r="AD17">
        <f t="shared" si="4"/>
        <v>0</v>
      </c>
      <c r="AE17">
        <f t="shared" si="5"/>
        <v>0</v>
      </c>
    </row>
    <row r="18" spans="1:35">
      <c r="A18">
        <v>10819</v>
      </c>
      <c r="B18" s="2">
        <v>46022</v>
      </c>
      <c r="C18" s="1">
        <v>6</v>
      </c>
      <c r="D18" s="1" t="s">
        <v>35</v>
      </c>
      <c r="E18" s="1" t="s">
        <v>36</v>
      </c>
      <c r="F18" s="1">
        <v>12220</v>
      </c>
      <c r="G18" s="1" t="s">
        <v>47</v>
      </c>
      <c r="H18" s="1" t="s">
        <v>47</v>
      </c>
      <c r="I18" s="1">
        <v>30</v>
      </c>
      <c r="J18" s="1" t="s">
        <v>421</v>
      </c>
      <c r="K18" s="1" t="e">
        <v>#N/A</v>
      </c>
      <c r="L18" s="1" t="s">
        <v>44</v>
      </c>
      <c r="M18">
        <v>2</v>
      </c>
      <c r="N18">
        <v>2</v>
      </c>
      <c r="O18">
        <v>0</v>
      </c>
      <c r="P18">
        <f t="shared" si="0"/>
        <v>0</v>
      </c>
      <c r="Q18">
        <v>1</v>
      </c>
      <c r="R18" t="e">
        <f t="shared" si="1"/>
        <v>#DIV/0!</v>
      </c>
      <c r="S18">
        <v>7</v>
      </c>
      <c r="T18">
        <v>5</v>
      </c>
      <c r="V18">
        <f t="shared" si="2"/>
        <v>0</v>
      </c>
      <c r="W18">
        <f t="shared" si="3"/>
        <v>7</v>
      </c>
      <c r="Y18">
        <v>1</v>
      </c>
      <c r="Z18">
        <v>1</v>
      </c>
      <c r="AD18">
        <f t="shared" si="4"/>
        <v>0</v>
      </c>
      <c r="AE18">
        <f t="shared" si="5"/>
        <v>0</v>
      </c>
      <c r="AH18">
        <v>0</v>
      </c>
      <c r="AI18">
        <v>0</v>
      </c>
    </row>
    <row r="19" spans="1:35">
      <c r="A19">
        <v>10350</v>
      </c>
      <c r="B19" s="2">
        <v>46022</v>
      </c>
      <c r="C19" s="1">
        <v>6</v>
      </c>
      <c r="D19" s="1" t="s">
        <v>35</v>
      </c>
      <c r="E19" s="1" t="s">
        <v>36</v>
      </c>
      <c r="F19" s="1">
        <v>10351</v>
      </c>
      <c r="G19" s="1" t="s">
        <v>47</v>
      </c>
      <c r="H19" s="1" t="s">
        <v>47</v>
      </c>
      <c r="I19" s="1">
        <v>30</v>
      </c>
      <c r="J19" s="1" t="s">
        <v>141</v>
      </c>
      <c r="K19" s="1">
        <v>5911</v>
      </c>
      <c r="L19" s="1" t="s">
        <v>114</v>
      </c>
      <c r="P19">
        <f t="shared" si="0"/>
        <v>13</v>
      </c>
      <c r="R19">
        <f t="shared" si="1"/>
        <v>0</v>
      </c>
      <c r="V19">
        <f t="shared" si="2"/>
        <v>0</v>
      </c>
      <c r="W19">
        <f t="shared" si="3"/>
        <v>0</v>
      </c>
      <c r="AD19">
        <f t="shared" si="4"/>
        <v>0</v>
      </c>
      <c r="AE19">
        <f t="shared" si="5"/>
        <v>0</v>
      </c>
    </row>
    <row r="20" spans="1:35">
      <c r="A20">
        <v>10305</v>
      </c>
      <c r="B20" s="2">
        <v>46022</v>
      </c>
      <c r="C20" s="1">
        <v>6</v>
      </c>
      <c r="D20" s="1" t="s">
        <v>35</v>
      </c>
      <c r="E20" s="1" t="s">
        <v>36</v>
      </c>
      <c r="F20" s="1">
        <v>10306</v>
      </c>
      <c r="G20" s="1" t="s">
        <v>47</v>
      </c>
      <c r="H20" s="1" t="s">
        <v>47</v>
      </c>
      <c r="I20" s="1">
        <v>30</v>
      </c>
      <c r="J20" s="1" t="s">
        <v>89</v>
      </c>
      <c r="K20" s="1" t="e">
        <v>#N/A</v>
      </c>
      <c r="L20" s="1" t="s">
        <v>90</v>
      </c>
      <c r="M20">
        <v>16</v>
      </c>
      <c r="N20">
        <v>13</v>
      </c>
      <c r="O20">
        <v>0</v>
      </c>
      <c r="P20">
        <f t="shared" si="0"/>
        <v>5</v>
      </c>
      <c r="Q20">
        <v>2</v>
      </c>
      <c r="R20">
        <f t="shared" si="1"/>
        <v>13.2</v>
      </c>
      <c r="S20">
        <v>66</v>
      </c>
      <c r="T20">
        <v>43</v>
      </c>
      <c r="V20">
        <f t="shared" si="2"/>
        <v>0</v>
      </c>
      <c r="W20">
        <f t="shared" si="3"/>
        <v>66</v>
      </c>
      <c r="Y20">
        <v>5</v>
      </c>
      <c r="Z20">
        <v>6</v>
      </c>
      <c r="AD20">
        <f t="shared" si="4"/>
        <v>0</v>
      </c>
      <c r="AE20">
        <f t="shared" si="5"/>
        <v>0</v>
      </c>
      <c r="AH20">
        <v>3</v>
      </c>
      <c r="AI20">
        <v>1</v>
      </c>
    </row>
    <row r="21" spans="1:35">
      <c r="A21">
        <v>10331</v>
      </c>
      <c r="B21" s="2">
        <v>46022</v>
      </c>
      <c r="C21" s="1">
        <v>6</v>
      </c>
      <c r="D21" s="1" t="s">
        <v>35</v>
      </c>
      <c r="E21" s="1" t="s">
        <v>36</v>
      </c>
      <c r="F21" s="1">
        <v>10332</v>
      </c>
      <c r="G21" s="1" t="s">
        <v>47</v>
      </c>
      <c r="H21" s="1" t="s">
        <v>47</v>
      </c>
      <c r="I21" s="1">
        <v>30</v>
      </c>
      <c r="J21" s="1" t="s">
        <v>121</v>
      </c>
      <c r="K21" s="1" t="e">
        <v>#N/A</v>
      </c>
      <c r="L21" s="1" t="s">
        <v>122</v>
      </c>
      <c r="M21">
        <v>1</v>
      </c>
      <c r="N21">
        <v>4</v>
      </c>
      <c r="O21">
        <v>1</v>
      </c>
      <c r="P21">
        <f>SUM(N23:O23)</f>
        <v>4</v>
      </c>
      <c r="Q21">
        <v>2</v>
      </c>
      <c r="R21">
        <f t="shared" si="1"/>
        <v>0.5</v>
      </c>
      <c r="S21">
        <v>2</v>
      </c>
      <c r="T21">
        <v>0</v>
      </c>
      <c r="V21">
        <f t="shared" si="2"/>
        <v>0</v>
      </c>
      <c r="W21">
        <f t="shared" si="3"/>
        <v>2</v>
      </c>
      <c r="Y21">
        <v>1</v>
      </c>
      <c r="Z21">
        <v>0</v>
      </c>
      <c r="AD21">
        <f t="shared" si="4"/>
        <v>0</v>
      </c>
      <c r="AE21">
        <f t="shared" si="5"/>
        <v>0</v>
      </c>
      <c r="AH21">
        <v>0</v>
      </c>
      <c r="AI21">
        <v>0</v>
      </c>
    </row>
    <row r="22" spans="1:35">
      <c r="A22">
        <v>10300</v>
      </c>
      <c r="B22" s="2">
        <v>46022</v>
      </c>
      <c r="C22" s="1">
        <v>6</v>
      </c>
      <c r="D22" s="1" t="s">
        <v>35</v>
      </c>
      <c r="E22" s="1" t="s">
        <v>36</v>
      </c>
      <c r="F22" s="1">
        <v>10301</v>
      </c>
      <c r="G22" s="1" t="s">
        <v>47</v>
      </c>
      <c r="H22" s="1" t="s">
        <v>47</v>
      </c>
      <c r="I22" s="1">
        <v>30</v>
      </c>
      <c r="J22" s="1" t="s">
        <v>85</v>
      </c>
      <c r="K22" s="1">
        <v>8074</v>
      </c>
      <c r="L22" s="1" t="s">
        <v>86</v>
      </c>
      <c r="M22">
        <v>7</v>
      </c>
      <c r="N22">
        <v>2</v>
      </c>
      <c r="O22">
        <v>3</v>
      </c>
      <c r="P22" t="e">
        <f>SUM(#REF!)</f>
        <v>#REF!</v>
      </c>
      <c r="Q22">
        <v>3</v>
      </c>
      <c r="R22" t="e">
        <f>S23/P22</f>
        <v>#REF!</v>
      </c>
      <c r="S22">
        <v>11</v>
      </c>
      <c r="T22">
        <v>0</v>
      </c>
      <c r="V22">
        <f>ROUND(SUM(U22*T23)/100,0)</f>
        <v>0</v>
      </c>
      <c r="W22">
        <f>ROUND(SUM(S23-V22),0)</f>
        <v>25</v>
      </c>
      <c r="Y22">
        <v>1</v>
      </c>
      <c r="Z22">
        <v>1</v>
      </c>
      <c r="AD22">
        <f t="shared" si="4"/>
        <v>0</v>
      </c>
      <c r="AE22" t="e">
        <f t="shared" si="5"/>
        <v>#REF!</v>
      </c>
      <c r="AH22">
        <v>0</v>
      </c>
      <c r="AI22">
        <v>0</v>
      </c>
    </row>
    <row r="23" spans="1:35">
      <c r="A23">
        <v>10516</v>
      </c>
      <c r="B23" s="2">
        <v>46022</v>
      </c>
      <c r="C23" s="1">
        <v>6</v>
      </c>
      <c r="D23" s="1" t="s">
        <v>35</v>
      </c>
      <c r="E23" s="1" t="s">
        <v>36</v>
      </c>
      <c r="F23" s="1">
        <v>10517</v>
      </c>
      <c r="G23" s="1" t="s">
        <v>47</v>
      </c>
      <c r="H23" s="1" t="s">
        <v>47</v>
      </c>
      <c r="I23" s="1">
        <v>30</v>
      </c>
      <c r="J23" s="1" t="s">
        <v>209</v>
      </c>
      <c r="K23" s="1" t="e">
        <v>#N/A</v>
      </c>
      <c r="L23" s="1" t="s">
        <v>210</v>
      </c>
      <c r="M23">
        <v>7</v>
      </c>
      <c r="N23">
        <v>2</v>
      </c>
      <c r="O23">
        <v>2</v>
      </c>
      <c r="P23">
        <f t="shared" ref="P23:P30" si="6">SUM(N24:O24)</f>
        <v>0</v>
      </c>
      <c r="Q23">
        <v>3</v>
      </c>
      <c r="R23" t="e">
        <f>#REF!/P23</f>
        <v>#REF!</v>
      </c>
      <c r="S23">
        <v>25</v>
      </c>
      <c r="T23">
        <v>4</v>
      </c>
      <c r="V23" t="e">
        <f>ROUND(SUM(U23*#REF!)/100,0)</f>
        <v>#REF!</v>
      </c>
      <c r="W23" t="e">
        <f>ROUND(SUM(#REF!-V23),0)</f>
        <v>#REF!</v>
      </c>
      <c r="Y23">
        <v>1</v>
      </c>
      <c r="Z23">
        <v>1</v>
      </c>
      <c r="AD23" t="e">
        <f t="shared" si="4"/>
        <v>#REF!</v>
      </c>
      <c r="AE23" t="e">
        <f t="shared" si="5"/>
        <v>#REF!</v>
      </c>
      <c r="AH23">
        <v>0</v>
      </c>
      <c r="AI23">
        <v>0</v>
      </c>
    </row>
    <row r="24" spans="1:35">
      <c r="A24">
        <v>10121</v>
      </c>
      <c r="B24" s="2">
        <v>46022</v>
      </c>
      <c r="C24" s="1">
        <v>6</v>
      </c>
      <c r="D24" s="1" t="s">
        <v>35</v>
      </c>
      <c r="E24" s="1" t="s">
        <v>36</v>
      </c>
      <c r="F24" s="1">
        <v>10122</v>
      </c>
      <c r="G24" s="1" t="s">
        <v>47</v>
      </c>
      <c r="H24" s="1" t="s">
        <v>47</v>
      </c>
      <c r="I24" s="1">
        <v>30</v>
      </c>
      <c r="J24" s="1" t="s">
        <v>59</v>
      </c>
      <c r="K24" s="1" t="e">
        <v>#N/A</v>
      </c>
      <c r="L24" s="1" t="s">
        <v>60</v>
      </c>
      <c r="P24">
        <f t="shared" si="6"/>
        <v>5</v>
      </c>
      <c r="R24">
        <f t="shared" ref="R24:R67" si="7">S24/P24</f>
        <v>0</v>
      </c>
      <c r="V24">
        <f t="shared" ref="V24:V67" si="8">ROUND(SUM(U24*T24)/100,0)</f>
        <v>0</v>
      </c>
      <c r="W24">
        <f t="shared" ref="W24:W67" si="9">ROUND(SUM(S24-V24),0)</f>
        <v>0</v>
      </c>
      <c r="AD24">
        <f t="shared" si="4"/>
        <v>0</v>
      </c>
      <c r="AE24">
        <f t="shared" si="5"/>
        <v>0</v>
      </c>
    </row>
    <row r="25" spans="1:35">
      <c r="A25">
        <v>10626</v>
      </c>
      <c r="B25" s="2">
        <v>46022</v>
      </c>
      <c r="C25" s="1">
        <v>6</v>
      </c>
      <c r="D25" s="1" t="s">
        <v>35</v>
      </c>
      <c r="E25" s="1" t="s">
        <v>36</v>
      </c>
      <c r="F25" s="1">
        <v>10627</v>
      </c>
      <c r="G25" s="1" t="s">
        <v>47</v>
      </c>
      <c r="H25" s="1" t="s">
        <v>47</v>
      </c>
      <c r="I25" s="1">
        <v>30</v>
      </c>
      <c r="J25" s="1" t="s">
        <v>297</v>
      </c>
      <c r="K25" s="1" t="e">
        <v>#N/A</v>
      </c>
      <c r="L25" s="1" t="s">
        <v>298</v>
      </c>
      <c r="M25">
        <v>72</v>
      </c>
      <c r="N25">
        <v>3</v>
      </c>
      <c r="O25">
        <v>2</v>
      </c>
      <c r="P25">
        <f t="shared" si="6"/>
        <v>0</v>
      </c>
      <c r="Q25">
        <v>5</v>
      </c>
      <c r="R25" t="e">
        <f t="shared" si="7"/>
        <v>#DIV/0!</v>
      </c>
      <c r="S25">
        <v>18</v>
      </c>
      <c r="T25">
        <v>5</v>
      </c>
      <c r="V25">
        <f t="shared" si="8"/>
        <v>0</v>
      </c>
      <c r="W25">
        <f t="shared" si="9"/>
        <v>18</v>
      </c>
      <c r="Y25">
        <v>0</v>
      </c>
      <c r="Z25">
        <v>5</v>
      </c>
      <c r="AD25">
        <f t="shared" si="4"/>
        <v>0</v>
      </c>
      <c r="AE25">
        <f t="shared" si="5"/>
        <v>0</v>
      </c>
      <c r="AH25">
        <v>0</v>
      </c>
      <c r="AI25">
        <v>0</v>
      </c>
    </row>
    <row r="26" spans="1:35">
      <c r="A26">
        <v>10343</v>
      </c>
      <c r="B26" s="2">
        <v>46022</v>
      </c>
      <c r="C26" s="1">
        <v>6</v>
      </c>
      <c r="D26" s="1" t="s">
        <v>35</v>
      </c>
      <c r="E26" s="1" t="s">
        <v>36</v>
      </c>
      <c r="F26" s="1">
        <v>10344</v>
      </c>
      <c r="G26" s="1" t="s">
        <v>47</v>
      </c>
      <c r="H26" s="1" t="s">
        <v>47</v>
      </c>
      <c r="I26" s="1">
        <v>30</v>
      </c>
      <c r="J26" s="1" t="s">
        <v>133</v>
      </c>
      <c r="K26" s="1" t="e">
        <v>#N/A</v>
      </c>
      <c r="L26" s="1" t="s">
        <v>134</v>
      </c>
      <c r="P26">
        <f t="shared" si="6"/>
        <v>18</v>
      </c>
      <c r="R26">
        <f t="shared" si="7"/>
        <v>0</v>
      </c>
      <c r="V26">
        <f t="shared" si="8"/>
        <v>0</v>
      </c>
      <c r="W26">
        <f t="shared" si="9"/>
        <v>0</v>
      </c>
      <c r="AD26">
        <f t="shared" si="4"/>
        <v>0</v>
      </c>
      <c r="AE26">
        <f t="shared" si="5"/>
        <v>0</v>
      </c>
    </row>
    <row r="27" spans="1:35">
      <c r="A27">
        <v>10656</v>
      </c>
      <c r="B27" s="2">
        <v>46022</v>
      </c>
      <c r="C27" s="1">
        <v>6</v>
      </c>
      <c r="D27" s="1" t="s">
        <v>35</v>
      </c>
      <c r="E27" s="1" t="s">
        <v>36</v>
      </c>
      <c r="F27" s="1">
        <v>10657</v>
      </c>
      <c r="G27" s="1" t="s">
        <v>47</v>
      </c>
      <c r="H27" s="1" t="s">
        <v>47</v>
      </c>
      <c r="I27" s="1">
        <v>30</v>
      </c>
      <c r="J27" s="1" t="s">
        <v>310</v>
      </c>
      <c r="K27" s="1" t="e">
        <v>#N/A</v>
      </c>
      <c r="L27" s="1" t="s">
        <v>311</v>
      </c>
      <c r="M27">
        <v>10</v>
      </c>
      <c r="N27">
        <v>8</v>
      </c>
      <c r="O27">
        <v>10</v>
      </c>
      <c r="P27">
        <f t="shared" si="6"/>
        <v>33</v>
      </c>
      <c r="Q27">
        <v>2</v>
      </c>
      <c r="R27">
        <f t="shared" si="7"/>
        <v>4.0303030303030303</v>
      </c>
      <c r="S27">
        <v>133</v>
      </c>
      <c r="T27">
        <v>0</v>
      </c>
      <c r="V27">
        <f t="shared" si="8"/>
        <v>0</v>
      </c>
      <c r="W27">
        <f t="shared" si="9"/>
        <v>133</v>
      </c>
      <c r="Y27">
        <v>3</v>
      </c>
      <c r="Z27">
        <v>3</v>
      </c>
      <c r="AD27">
        <f t="shared" si="4"/>
        <v>0</v>
      </c>
      <c r="AE27">
        <f t="shared" si="5"/>
        <v>0</v>
      </c>
      <c r="AH27">
        <v>1</v>
      </c>
      <c r="AI27">
        <v>0</v>
      </c>
    </row>
    <row r="28" spans="1:35">
      <c r="A28">
        <v>10313</v>
      </c>
      <c r="B28" s="2">
        <v>46022</v>
      </c>
      <c r="C28" s="1">
        <v>6</v>
      </c>
      <c r="D28" s="1" t="s">
        <v>35</v>
      </c>
      <c r="E28" s="1" t="s">
        <v>36</v>
      </c>
      <c r="F28" s="1">
        <v>10314</v>
      </c>
      <c r="G28" s="1" t="s">
        <v>47</v>
      </c>
      <c r="H28" s="1" t="s">
        <v>47</v>
      </c>
      <c r="I28" s="1">
        <v>30</v>
      </c>
      <c r="J28" s="1" t="s">
        <v>99</v>
      </c>
      <c r="K28" s="1">
        <v>9919</v>
      </c>
      <c r="L28" s="1" t="s">
        <v>100</v>
      </c>
      <c r="M28">
        <v>24</v>
      </c>
      <c r="N28">
        <v>17</v>
      </c>
      <c r="O28">
        <v>16</v>
      </c>
      <c r="P28">
        <f t="shared" si="6"/>
        <v>1</v>
      </c>
      <c r="Q28">
        <v>2</v>
      </c>
      <c r="R28">
        <f t="shared" si="7"/>
        <v>81</v>
      </c>
      <c r="S28">
        <v>81</v>
      </c>
      <c r="T28">
        <v>8</v>
      </c>
      <c r="V28">
        <f t="shared" si="8"/>
        <v>0</v>
      </c>
      <c r="W28">
        <f t="shared" si="9"/>
        <v>81</v>
      </c>
      <c r="Y28">
        <v>18</v>
      </c>
      <c r="Z28">
        <v>15</v>
      </c>
      <c r="AD28">
        <f t="shared" si="4"/>
        <v>0</v>
      </c>
      <c r="AE28">
        <f t="shared" si="5"/>
        <v>0</v>
      </c>
      <c r="AH28">
        <v>3</v>
      </c>
      <c r="AI28">
        <v>0</v>
      </c>
    </row>
    <row r="29" spans="1:35">
      <c r="A29">
        <v>10662</v>
      </c>
      <c r="B29" s="2">
        <v>46022</v>
      </c>
      <c r="C29" s="1">
        <v>6</v>
      </c>
      <c r="D29" s="1" t="s">
        <v>35</v>
      </c>
      <c r="E29" s="1" t="s">
        <v>36</v>
      </c>
      <c r="F29" s="1">
        <v>10663</v>
      </c>
      <c r="G29" s="1" t="s">
        <v>47</v>
      </c>
      <c r="H29" s="1" t="s">
        <v>47</v>
      </c>
      <c r="I29" s="1">
        <v>30</v>
      </c>
      <c r="J29" s="1" t="s">
        <v>314</v>
      </c>
      <c r="K29" s="1" t="e">
        <v>#N/A</v>
      </c>
      <c r="L29" s="1" t="s">
        <v>315</v>
      </c>
      <c r="M29">
        <v>2</v>
      </c>
      <c r="N29">
        <v>0</v>
      </c>
      <c r="O29">
        <v>1</v>
      </c>
      <c r="P29">
        <f t="shared" si="6"/>
        <v>11</v>
      </c>
      <c r="Q29">
        <v>2</v>
      </c>
      <c r="R29">
        <f t="shared" si="7"/>
        <v>0.27272727272727271</v>
      </c>
      <c r="S29">
        <v>3</v>
      </c>
      <c r="T29">
        <v>0</v>
      </c>
      <c r="V29">
        <f t="shared" si="8"/>
        <v>0</v>
      </c>
      <c r="W29">
        <f t="shared" si="9"/>
        <v>3</v>
      </c>
      <c r="Y29">
        <v>0</v>
      </c>
      <c r="Z29">
        <v>0</v>
      </c>
      <c r="AD29">
        <f t="shared" si="4"/>
        <v>0</v>
      </c>
      <c r="AE29">
        <f t="shared" si="5"/>
        <v>0</v>
      </c>
      <c r="AH29">
        <v>0</v>
      </c>
      <c r="AI29">
        <v>0</v>
      </c>
    </row>
    <row r="30" spans="1:35">
      <c r="A30">
        <v>10316</v>
      </c>
      <c r="B30" s="2">
        <v>46022</v>
      </c>
      <c r="C30" s="1">
        <v>6</v>
      </c>
      <c r="D30" s="1" t="s">
        <v>35</v>
      </c>
      <c r="E30" s="1" t="s">
        <v>36</v>
      </c>
      <c r="F30" s="1">
        <v>10317</v>
      </c>
      <c r="G30" s="1" t="s">
        <v>47</v>
      </c>
      <c r="H30" s="1" t="s">
        <v>47</v>
      </c>
      <c r="I30" s="1">
        <v>30</v>
      </c>
      <c r="J30" s="1" t="s">
        <v>103</v>
      </c>
      <c r="K30" s="1" t="e">
        <v>#N/A</v>
      </c>
      <c r="L30" s="1" t="s">
        <v>104</v>
      </c>
      <c r="M30">
        <v>30</v>
      </c>
      <c r="N30">
        <v>5</v>
      </c>
      <c r="O30">
        <v>6</v>
      </c>
      <c r="P30">
        <f t="shared" si="6"/>
        <v>4</v>
      </c>
      <c r="Q30">
        <v>2</v>
      </c>
      <c r="R30">
        <f t="shared" si="7"/>
        <v>10</v>
      </c>
      <c r="S30">
        <v>40</v>
      </c>
      <c r="T30">
        <v>4</v>
      </c>
      <c r="V30">
        <f t="shared" si="8"/>
        <v>0</v>
      </c>
      <c r="W30">
        <f t="shared" si="9"/>
        <v>40</v>
      </c>
      <c r="Y30">
        <v>10</v>
      </c>
      <c r="Z30">
        <v>3</v>
      </c>
      <c r="AD30">
        <f t="shared" si="4"/>
        <v>0</v>
      </c>
      <c r="AE30">
        <f t="shared" si="5"/>
        <v>0</v>
      </c>
      <c r="AH30">
        <v>0</v>
      </c>
      <c r="AI30">
        <v>0</v>
      </c>
    </row>
    <row r="31" spans="1:35">
      <c r="A31">
        <v>10724</v>
      </c>
      <c r="B31" s="2">
        <v>46022</v>
      </c>
      <c r="C31" s="1">
        <v>6</v>
      </c>
      <c r="D31" s="1" t="s">
        <v>35</v>
      </c>
      <c r="E31" s="1" t="s">
        <v>36</v>
      </c>
      <c r="F31" s="1">
        <v>10725</v>
      </c>
      <c r="G31" s="1" t="s">
        <v>47</v>
      </c>
      <c r="H31" s="1" t="s">
        <v>47</v>
      </c>
      <c r="I31" s="1">
        <v>30</v>
      </c>
      <c r="J31" s="1" t="s">
        <v>340</v>
      </c>
      <c r="K31" s="1">
        <v>10462</v>
      </c>
      <c r="L31" s="1" t="s">
        <v>341</v>
      </c>
      <c r="M31">
        <v>2</v>
      </c>
      <c r="N31">
        <v>2</v>
      </c>
      <c r="O31">
        <v>2</v>
      </c>
      <c r="P31" t="e">
        <f>SUM(#REF!)</f>
        <v>#REF!</v>
      </c>
      <c r="Q31">
        <v>2</v>
      </c>
      <c r="R31" t="e">
        <f t="shared" si="7"/>
        <v>#REF!</v>
      </c>
      <c r="S31">
        <v>17</v>
      </c>
      <c r="T31">
        <v>0</v>
      </c>
      <c r="V31">
        <f t="shared" si="8"/>
        <v>0</v>
      </c>
      <c r="W31">
        <f t="shared" si="9"/>
        <v>17</v>
      </c>
      <c r="Y31">
        <v>1</v>
      </c>
      <c r="Z31">
        <v>1</v>
      </c>
      <c r="AD31">
        <f t="shared" si="4"/>
        <v>0</v>
      </c>
      <c r="AE31" t="e">
        <f t="shared" si="5"/>
        <v>#REF!</v>
      </c>
      <c r="AH31">
        <v>0</v>
      </c>
      <c r="AI31">
        <v>0</v>
      </c>
    </row>
    <row r="32" spans="1:35">
      <c r="A32">
        <v>10319</v>
      </c>
      <c r="B32" s="2">
        <v>46022</v>
      </c>
      <c r="C32" s="1">
        <v>6</v>
      </c>
      <c r="D32" s="1" t="s">
        <v>35</v>
      </c>
      <c r="E32" s="1" t="s">
        <v>36</v>
      </c>
      <c r="F32" s="1">
        <v>10320</v>
      </c>
      <c r="G32" s="1" t="s">
        <v>47</v>
      </c>
      <c r="H32" s="1" t="s">
        <v>47</v>
      </c>
      <c r="I32" s="1">
        <v>30</v>
      </c>
      <c r="J32" s="1" t="s">
        <v>107</v>
      </c>
      <c r="K32" s="1" t="e">
        <v>#N/A</v>
      </c>
      <c r="L32" s="1" t="s">
        <v>108</v>
      </c>
      <c r="M32">
        <v>2</v>
      </c>
      <c r="N32">
        <v>1</v>
      </c>
      <c r="O32">
        <v>0</v>
      </c>
      <c r="P32">
        <f t="shared" ref="P32:P45" si="10">SUM(N33:O33)</f>
        <v>19</v>
      </c>
      <c r="Q32">
        <v>2</v>
      </c>
      <c r="R32">
        <f t="shared" si="7"/>
        <v>0.31578947368421051</v>
      </c>
      <c r="S32">
        <v>6</v>
      </c>
      <c r="T32">
        <v>0</v>
      </c>
      <c r="V32">
        <f t="shared" si="8"/>
        <v>0</v>
      </c>
      <c r="W32">
        <f t="shared" si="9"/>
        <v>6</v>
      </c>
      <c r="Y32">
        <v>3</v>
      </c>
      <c r="Z32">
        <v>4</v>
      </c>
      <c r="AD32">
        <f t="shared" si="4"/>
        <v>0</v>
      </c>
      <c r="AE32">
        <f t="shared" si="5"/>
        <v>0</v>
      </c>
      <c r="AH32">
        <v>0</v>
      </c>
      <c r="AI32">
        <v>0</v>
      </c>
    </row>
    <row r="33" spans="1:35">
      <c r="A33">
        <v>10820</v>
      </c>
      <c r="B33" s="2">
        <v>46022</v>
      </c>
      <c r="C33" s="1">
        <v>6</v>
      </c>
      <c r="D33" s="1" t="s">
        <v>35</v>
      </c>
      <c r="E33" s="1" t="s">
        <v>36</v>
      </c>
      <c r="F33" s="1">
        <v>12221</v>
      </c>
      <c r="G33" s="1" t="s">
        <v>47</v>
      </c>
      <c r="H33" s="1" t="s">
        <v>47</v>
      </c>
      <c r="I33" s="1">
        <v>30</v>
      </c>
      <c r="J33" s="1" t="s">
        <v>422</v>
      </c>
      <c r="K33" s="1" t="e">
        <v>#N/A</v>
      </c>
      <c r="L33" s="1" t="s">
        <v>423</v>
      </c>
      <c r="M33" s="7">
        <v>11</v>
      </c>
      <c r="N33">
        <v>15</v>
      </c>
      <c r="O33">
        <v>4</v>
      </c>
      <c r="P33">
        <f t="shared" si="10"/>
        <v>0</v>
      </c>
      <c r="Q33">
        <v>2</v>
      </c>
      <c r="R33" t="e">
        <f t="shared" si="7"/>
        <v>#DIV/0!</v>
      </c>
      <c r="S33">
        <v>96</v>
      </c>
      <c r="T33">
        <v>51</v>
      </c>
      <c r="V33">
        <f t="shared" si="8"/>
        <v>0</v>
      </c>
      <c r="W33">
        <f t="shared" si="9"/>
        <v>96</v>
      </c>
      <c r="Y33">
        <v>25</v>
      </c>
      <c r="Z33">
        <v>17</v>
      </c>
      <c r="AD33">
        <f t="shared" si="4"/>
        <v>0</v>
      </c>
      <c r="AE33">
        <f t="shared" si="5"/>
        <v>0</v>
      </c>
      <c r="AH33">
        <v>0</v>
      </c>
      <c r="AI33">
        <v>0</v>
      </c>
    </row>
    <row r="34" spans="1:35">
      <c r="A34">
        <v>10732</v>
      </c>
      <c r="B34" s="2">
        <v>46022</v>
      </c>
      <c r="C34" s="1">
        <v>6</v>
      </c>
      <c r="D34" s="1" t="s">
        <v>35</v>
      </c>
      <c r="E34" s="1" t="s">
        <v>36</v>
      </c>
      <c r="F34" s="1">
        <v>10733</v>
      </c>
      <c r="G34" s="1" t="s">
        <v>47</v>
      </c>
      <c r="H34" s="1" t="s">
        <v>47</v>
      </c>
      <c r="I34" s="1">
        <v>30</v>
      </c>
      <c r="J34" s="1" t="s">
        <v>348</v>
      </c>
      <c r="K34" s="1">
        <v>10651</v>
      </c>
      <c r="L34" s="1" t="s">
        <v>349</v>
      </c>
      <c r="P34">
        <f t="shared" si="10"/>
        <v>0</v>
      </c>
      <c r="R34" t="e">
        <f t="shared" si="7"/>
        <v>#DIV/0!</v>
      </c>
      <c r="V34">
        <f t="shared" si="8"/>
        <v>0</v>
      </c>
      <c r="W34">
        <f t="shared" si="9"/>
        <v>0</v>
      </c>
      <c r="AD34">
        <f t="shared" si="4"/>
        <v>0</v>
      </c>
      <c r="AE34">
        <f t="shared" si="5"/>
        <v>0</v>
      </c>
    </row>
    <row r="35" spans="1:35">
      <c r="A35">
        <v>10306</v>
      </c>
      <c r="B35" s="2">
        <v>46022</v>
      </c>
      <c r="C35" s="1">
        <v>6</v>
      </c>
      <c r="D35" s="1" t="s">
        <v>35</v>
      </c>
      <c r="E35" s="1" t="s">
        <v>36</v>
      </c>
      <c r="F35" s="1">
        <v>10307</v>
      </c>
      <c r="G35" s="1" t="s">
        <v>47</v>
      </c>
      <c r="H35" s="1" t="s">
        <v>47</v>
      </c>
      <c r="I35" s="1">
        <v>30</v>
      </c>
      <c r="J35" s="1" t="s">
        <v>91</v>
      </c>
      <c r="K35" s="1" t="e">
        <v>#N/A</v>
      </c>
      <c r="L35" s="1" t="s">
        <v>92</v>
      </c>
      <c r="P35">
        <f t="shared" si="10"/>
        <v>13</v>
      </c>
      <c r="R35">
        <f t="shared" si="7"/>
        <v>0</v>
      </c>
      <c r="V35">
        <f t="shared" si="8"/>
        <v>0</v>
      </c>
      <c r="W35">
        <f t="shared" si="9"/>
        <v>0</v>
      </c>
      <c r="AD35">
        <f t="shared" ref="AD35:AD67" si="11">SUM(V35/100)</f>
        <v>0</v>
      </c>
      <c r="AE35">
        <f t="shared" ref="AE35:AE66" si="12">ROUND(SUM(P35*AD35),0)</f>
        <v>0</v>
      </c>
    </row>
    <row r="36" spans="1:35">
      <c r="A36">
        <v>10301</v>
      </c>
      <c r="B36" s="2">
        <v>46022</v>
      </c>
      <c r="C36" s="1">
        <v>6</v>
      </c>
      <c r="D36" s="1" t="s">
        <v>35</v>
      </c>
      <c r="E36" s="1" t="s">
        <v>36</v>
      </c>
      <c r="F36" s="1">
        <v>10302</v>
      </c>
      <c r="G36" s="1" t="s">
        <v>47</v>
      </c>
      <c r="H36" s="1" t="s">
        <v>47</v>
      </c>
      <c r="I36" s="1">
        <v>30</v>
      </c>
      <c r="J36" s="1" t="s">
        <v>87</v>
      </c>
      <c r="K36" s="1" t="e">
        <v>#N/A</v>
      </c>
      <c r="L36" s="1" t="s">
        <v>88</v>
      </c>
      <c r="M36">
        <v>10</v>
      </c>
      <c r="N36">
        <v>7</v>
      </c>
      <c r="O36">
        <v>6</v>
      </c>
      <c r="P36">
        <f t="shared" si="10"/>
        <v>13</v>
      </c>
      <c r="R36">
        <f t="shared" si="7"/>
        <v>4.6923076923076925</v>
      </c>
      <c r="S36">
        <v>61</v>
      </c>
      <c r="T36">
        <v>0</v>
      </c>
      <c r="V36">
        <f t="shared" si="8"/>
        <v>0</v>
      </c>
      <c r="W36">
        <f t="shared" si="9"/>
        <v>61</v>
      </c>
      <c r="Y36">
        <v>9</v>
      </c>
      <c r="Z36">
        <v>4</v>
      </c>
      <c r="AD36">
        <f t="shared" si="11"/>
        <v>0</v>
      </c>
      <c r="AE36">
        <f t="shared" si="12"/>
        <v>0</v>
      </c>
      <c r="AH36">
        <v>0</v>
      </c>
      <c r="AI36">
        <v>0</v>
      </c>
    </row>
    <row r="37" spans="1:35">
      <c r="A37">
        <v>10725</v>
      </c>
      <c r="B37" s="2">
        <v>46022</v>
      </c>
      <c r="C37" s="1">
        <v>6</v>
      </c>
      <c r="D37" s="1" t="s">
        <v>35</v>
      </c>
      <c r="E37" s="1" t="s">
        <v>36</v>
      </c>
      <c r="F37" s="1">
        <v>10726</v>
      </c>
      <c r="G37" s="1" t="s">
        <v>47</v>
      </c>
      <c r="H37" s="1" t="s">
        <v>47</v>
      </c>
      <c r="I37" s="1">
        <v>30</v>
      </c>
      <c r="J37" s="1" t="s">
        <v>342</v>
      </c>
      <c r="K37" s="1" t="e">
        <v>#N/A</v>
      </c>
      <c r="L37" s="1" t="s">
        <v>343</v>
      </c>
      <c r="M37">
        <v>13</v>
      </c>
      <c r="N37">
        <v>7</v>
      </c>
      <c r="O37">
        <v>6</v>
      </c>
      <c r="P37">
        <f t="shared" si="10"/>
        <v>14</v>
      </c>
      <c r="Q37">
        <v>3</v>
      </c>
      <c r="R37">
        <f t="shared" si="7"/>
        <v>20</v>
      </c>
      <c r="S37">
        <v>280</v>
      </c>
      <c r="T37">
        <v>0</v>
      </c>
      <c r="V37">
        <f t="shared" si="8"/>
        <v>0</v>
      </c>
      <c r="W37">
        <f t="shared" si="9"/>
        <v>280</v>
      </c>
      <c r="Y37">
        <v>8</v>
      </c>
      <c r="Z37">
        <v>7</v>
      </c>
      <c r="AD37">
        <f t="shared" si="11"/>
        <v>0</v>
      </c>
      <c r="AE37">
        <f t="shared" si="12"/>
        <v>0</v>
      </c>
      <c r="AH37">
        <v>0</v>
      </c>
      <c r="AI37">
        <v>0</v>
      </c>
    </row>
    <row r="38" spans="1:35">
      <c r="A38">
        <v>10741</v>
      </c>
      <c r="B38" s="2">
        <v>46022</v>
      </c>
      <c r="C38" s="1">
        <v>6</v>
      </c>
      <c r="D38" s="1" t="s">
        <v>35</v>
      </c>
      <c r="E38" s="1" t="s">
        <v>36</v>
      </c>
      <c r="F38" s="1">
        <v>10742</v>
      </c>
      <c r="G38" s="1" t="s">
        <v>47</v>
      </c>
      <c r="H38" s="1" t="s">
        <v>47</v>
      </c>
      <c r="I38" s="1">
        <v>30</v>
      </c>
      <c r="J38" s="1" t="s">
        <v>356</v>
      </c>
      <c r="K38" s="1" t="e">
        <v>#N/A</v>
      </c>
      <c r="L38" s="1" t="s">
        <v>357</v>
      </c>
      <c r="M38">
        <v>10</v>
      </c>
      <c r="N38">
        <v>10</v>
      </c>
      <c r="O38">
        <v>4</v>
      </c>
      <c r="P38">
        <f t="shared" si="10"/>
        <v>14</v>
      </c>
      <c r="Q38">
        <v>2</v>
      </c>
      <c r="R38">
        <f t="shared" si="7"/>
        <v>4.7857142857142856</v>
      </c>
      <c r="S38">
        <v>67</v>
      </c>
      <c r="T38">
        <v>1</v>
      </c>
      <c r="V38">
        <f t="shared" si="8"/>
        <v>0</v>
      </c>
      <c r="W38">
        <f t="shared" si="9"/>
        <v>67</v>
      </c>
      <c r="Y38">
        <v>3</v>
      </c>
      <c r="Z38">
        <v>3</v>
      </c>
      <c r="AD38">
        <f t="shared" si="11"/>
        <v>0</v>
      </c>
      <c r="AE38">
        <f t="shared" si="12"/>
        <v>0</v>
      </c>
      <c r="AH38">
        <v>0</v>
      </c>
      <c r="AI38">
        <v>0</v>
      </c>
    </row>
    <row r="39" spans="1:35">
      <c r="A39">
        <v>10733</v>
      </c>
      <c r="B39" s="2">
        <v>46022</v>
      </c>
      <c r="C39" s="1">
        <v>6</v>
      </c>
      <c r="D39" s="1" t="s">
        <v>35</v>
      </c>
      <c r="E39" s="1" t="s">
        <v>36</v>
      </c>
      <c r="F39" s="1">
        <v>10734</v>
      </c>
      <c r="G39" s="1" t="s">
        <v>47</v>
      </c>
      <c r="H39" s="1" t="s">
        <v>47</v>
      </c>
      <c r="I39" s="1">
        <v>30</v>
      </c>
      <c r="J39" s="1" t="s">
        <v>350</v>
      </c>
      <c r="K39" s="1" t="e">
        <v>#N/A</v>
      </c>
      <c r="L39" s="1" t="s">
        <v>351</v>
      </c>
      <c r="M39">
        <v>18</v>
      </c>
      <c r="N39">
        <v>9</v>
      </c>
      <c r="O39">
        <v>5</v>
      </c>
      <c r="P39">
        <f t="shared" si="10"/>
        <v>1</v>
      </c>
      <c r="Q39">
        <v>2</v>
      </c>
      <c r="R39">
        <f t="shared" si="7"/>
        <v>28</v>
      </c>
      <c r="S39">
        <v>28</v>
      </c>
      <c r="T39">
        <v>0</v>
      </c>
      <c r="V39">
        <f t="shared" si="8"/>
        <v>0</v>
      </c>
      <c r="W39">
        <f t="shared" si="9"/>
        <v>28</v>
      </c>
      <c r="Y39">
        <v>7</v>
      </c>
      <c r="Z39">
        <v>10</v>
      </c>
      <c r="AD39">
        <f t="shared" si="11"/>
        <v>0</v>
      </c>
      <c r="AE39">
        <f t="shared" si="12"/>
        <v>0</v>
      </c>
      <c r="AH39">
        <v>0</v>
      </c>
      <c r="AI39">
        <v>0</v>
      </c>
    </row>
    <row r="40" spans="1:35">
      <c r="A40">
        <v>10447</v>
      </c>
      <c r="B40" s="2">
        <v>46022</v>
      </c>
      <c r="C40" s="1">
        <v>6</v>
      </c>
      <c r="D40" s="1" t="s">
        <v>35</v>
      </c>
      <c r="E40" s="1" t="s">
        <v>36</v>
      </c>
      <c r="F40" s="1">
        <v>10448</v>
      </c>
      <c r="G40" s="1" t="s">
        <v>47</v>
      </c>
      <c r="H40" s="1" t="s">
        <v>47</v>
      </c>
      <c r="I40" s="1">
        <v>30</v>
      </c>
      <c r="J40" s="1" t="s">
        <v>178</v>
      </c>
      <c r="K40" s="1" t="e">
        <v>#N/A</v>
      </c>
      <c r="L40" s="1" t="s">
        <v>179</v>
      </c>
      <c r="M40">
        <v>10</v>
      </c>
      <c r="N40">
        <v>0</v>
      </c>
      <c r="O40">
        <v>1</v>
      </c>
      <c r="P40">
        <f t="shared" si="10"/>
        <v>9</v>
      </c>
      <c r="Q40">
        <v>2</v>
      </c>
      <c r="R40">
        <f t="shared" si="7"/>
        <v>0.55555555555555558</v>
      </c>
      <c r="S40">
        <v>5</v>
      </c>
      <c r="T40">
        <v>0</v>
      </c>
      <c r="V40">
        <f t="shared" si="8"/>
        <v>0</v>
      </c>
      <c r="W40">
        <f t="shared" si="9"/>
        <v>5</v>
      </c>
      <c r="Y40">
        <v>1</v>
      </c>
      <c r="Z40">
        <v>6</v>
      </c>
      <c r="AD40">
        <f t="shared" si="11"/>
        <v>0</v>
      </c>
      <c r="AE40">
        <f t="shared" si="12"/>
        <v>0</v>
      </c>
      <c r="AH40">
        <v>0</v>
      </c>
      <c r="AI40">
        <v>0</v>
      </c>
    </row>
    <row r="41" spans="1:35">
      <c r="A41">
        <v>10185</v>
      </c>
      <c r="B41" s="2">
        <v>46022</v>
      </c>
      <c r="C41" s="1">
        <v>6</v>
      </c>
      <c r="D41" s="1" t="s">
        <v>35</v>
      </c>
      <c r="E41" s="1" t="s">
        <v>36</v>
      </c>
      <c r="F41" s="1">
        <v>10186</v>
      </c>
      <c r="G41" s="1" t="s">
        <v>47</v>
      </c>
      <c r="H41" s="1" t="s">
        <v>47</v>
      </c>
      <c r="I41" s="1">
        <v>30</v>
      </c>
      <c r="J41" s="1" t="s">
        <v>68</v>
      </c>
      <c r="K41" s="1" t="e">
        <v>#N/A</v>
      </c>
      <c r="L41" s="1" t="s">
        <v>69</v>
      </c>
      <c r="M41">
        <v>13</v>
      </c>
      <c r="N41">
        <v>5</v>
      </c>
      <c r="O41">
        <v>4</v>
      </c>
      <c r="P41">
        <f t="shared" si="10"/>
        <v>0</v>
      </c>
      <c r="Q41">
        <v>1</v>
      </c>
      <c r="R41" t="e">
        <f t="shared" si="7"/>
        <v>#DIV/0!</v>
      </c>
      <c r="S41">
        <v>37</v>
      </c>
      <c r="T41">
        <v>7</v>
      </c>
      <c r="V41">
        <f t="shared" si="8"/>
        <v>0</v>
      </c>
      <c r="W41">
        <f t="shared" si="9"/>
        <v>37</v>
      </c>
      <c r="Y41">
        <v>9</v>
      </c>
      <c r="Z41">
        <v>3</v>
      </c>
      <c r="AD41">
        <f t="shared" si="11"/>
        <v>0</v>
      </c>
      <c r="AE41">
        <f t="shared" si="12"/>
        <v>0</v>
      </c>
      <c r="AH41">
        <v>0</v>
      </c>
      <c r="AI41">
        <v>0</v>
      </c>
    </row>
    <row r="42" spans="1:35">
      <c r="A42">
        <v>10342</v>
      </c>
      <c r="B42" s="2">
        <v>46022</v>
      </c>
      <c r="C42" s="1">
        <v>6</v>
      </c>
      <c r="D42" s="1" t="s">
        <v>35</v>
      </c>
      <c r="E42" s="1" t="s">
        <v>36</v>
      </c>
      <c r="F42" s="1">
        <v>10343</v>
      </c>
      <c r="G42" s="1" t="s">
        <v>47</v>
      </c>
      <c r="H42" s="1" t="s">
        <v>47</v>
      </c>
      <c r="I42" s="1">
        <v>30</v>
      </c>
      <c r="J42" s="1" t="s">
        <v>131</v>
      </c>
      <c r="K42" s="1" t="e">
        <v>#N/A</v>
      </c>
      <c r="L42" s="1" t="s">
        <v>132</v>
      </c>
      <c r="P42">
        <f t="shared" si="10"/>
        <v>1</v>
      </c>
      <c r="R42">
        <f t="shared" si="7"/>
        <v>0</v>
      </c>
      <c r="S42" s="3"/>
      <c r="V42">
        <f t="shared" si="8"/>
        <v>0</v>
      </c>
      <c r="W42">
        <f t="shared" si="9"/>
        <v>0</v>
      </c>
      <c r="AD42">
        <f t="shared" si="11"/>
        <v>0</v>
      </c>
      <c r="AE42">
        <f t="shared" si="12"/>
        <v>0</v>
      </c>
    </row>
    <row r="43" spans="1:35">
      <c r="A43">
        <v>10345</v>
      </c>
      <c r="B43" s="2">
        <v>46022</v>
      </c>
      <c r="C43" s="1">
        <v>6</v>
      </c>
      <c r="D43" s="1" t="s">
        <v>35</v>
      </c>
      <c r="E43" s="1" t="s">
        <v>36</v>
      </c>
      <c r="F43" s="1">
        <v>10346</v>
      </c>
      <c r="G43" s="1" t="s">
        <v>47</v>
      </c>
      <c r="H43" s="1" t="s">
        <v>47</v>
      </c>
      <c r="I43" s="1">
        <v>30</v>
      </c>
      <c r="J43" s="1" t="s">
        <v>136</v>
      </c>
      <c r="K43" s="1" t="e">
        <v>#N/A</v>
      </c>
      <c r="L43" s="1" t="s">
        <v>137</v>
      </c>
      <c r="M43">
        <v>2</v>
      </c>
      <c r="N43">
        <v>0</v>
      </c>
      <c r="O43">
        <v>1</v>
      </c>
      <c r="P43">
        <f t="shared" si="10"/>
        <v>2</v>
      </c>
      <c r="Q43">
        <v>1</v>
      </c>
      <c r="R43">
        <f t="shared" si="7"/>
        <v>2.5</v>
      </c>
      <c r="S43">
        <v>5</v>
      </c>
      <c r="T43">
        <v>0</v>
      </c>
      <c r="V43">
        <f t="shared" si="8"/>
        <v>0</v>
      </c>
      <c r="W43">
        <f t="shared" si="9"/>
        <v>5</v>
      </c>
      <c r="Y43">
        <v>5</v>
      </c>
      <c r="Z43">
        <v>5</v>
      </c>
      <c r="AD43">
        <f t="shared" si="11"/>
        <v>0</v>
      </c>
      <c r="AE43">
        <f t="shared" si="12"/>
        <v>0</v>
      </c>
      <c r="AH43">
        <v>0</v>
      </c>
      <c r="AI43">
        <v>0</v>
      </c>
    </row>
    <row r="44" spans="1:35">
      <c r="A44">
        <v>10203</v>
      </c>
      <c r="B44" s="2">
        <v>46022</v>
      </c>
      <c r="C44" s="1">
        <v>6</v>
      </c>
      <c r="D44" s="1" t="s">
        <v>35</v>
      </c>
      <c r="E44" s="1" t="s">
        <v>36</v>
      </c>
      <c r="F44" s="1">
        <v>10204</v>
      </c>
      <c r="G44" s="1" t="s">
        <v>47</v>
      </c>
      <c r="H44" s="1" t="s">
        <v>47</v>
      </c>
      <c r="I44" s="1">
        <v>30</v>
      </c>
      <c r="J44" s="1" t="s">
        <v>74</v>
      </c>
      <c r="K44" s="1" t="e">
        <v>#N/A</v>
      </c>
      <c r="L44" s="1" t="s">
        <v>75</v>
      </c>
      <c r="M44">
        <v>1</v>
      </c>
      <c r="N44">
        <v>1</v>
      </c>
      <c r="O44">
        <v>1</v>
      </c>
      <c r="P44">
        <f t="shared" si="10"/>
        <v>0</v>
      </c>
      <c r="Q44">
        <v>1</v>
      </c>
      <c r="R44" t="e">
        <f t="shared" si="7"/>
        <v>#DIV/0!</v>
      </c>
      <c r="S44">
        <v>11</v>
      </c>
      <c r="T44">
        <v>14</v>
      </c>
      <c r="V44">
        <f t="shared" si="8"/>
        <v>0</v>
      </c>
      <c r="W44">
        <f t="shared" si="9"/>
        <v>11</v>
      </c>
      <c r="Y44">
        <v>5</v>
      </c>
      <c r="Z44">
        <v>4</v>
      </c>
      <c r="AD44">
        <f t="shared" si="11"/>
        <v>0</v>
      </c>
      <c r="AE44">
        <f t="shared" si="12"/>
        <v>0</v>
      </c>
      <c r="AH44">
        <v>0</v>
      </c>
      <c r="AI44">
        <v>0</v>
      </c>
    </row>
    <row r="45" spans="1:35">
      <c r="A45">
        <v>10726</v>
      </c>
      <c r="B45" s="2">
        <v>46022</v>
      </c>
      <c r="C45" s="1">
        <v>6</v>
      </c>
      <c r="D45" s="1" t="s">
        <v>35</v>
      </c>
      <c r="E45" s="1" t="s">
        <v>36</v>
      </c>
      <c r="F45" s="1">
        <v>10727</v>
      </c>
      <c r="G45" s="1" t="s">
        <v>47</v>
      </c>
      <c r="H45" s="1" t="s">
        <v>47</v>
      </c>
      <c r="I45" s="1">
        <v>30</v>
      </c>
      <c r="J45" s="1" t="s">
        <v>344</v>
      </c>
      <c r="K45" s="1" t="e">
        <v>#N/A</v>
      </c>
      <c r="L45" s="1" t="s">
        <v>345</v>
      </c>
      <c r="P45">
        <f t="shared" si="10"/>
        <v>1</v>
      </c>
      <c r="R45">
        <f t="shared" si="7"/>
        <v>0</v>
      </c>
      <c r="V45">
        <f t="shared" si="8"/>
        <v>0</v>
      </c>
      <c r="W45">
        <f t="shared" si="9"/>
        <v>0</v>
      </c>
      <c r="AD45">
        <f t="shared" si="11"/>
        <v>0</v>
      </c>
      <c r="AE45">
        <f t="shared" si="12"/>
        <v>0</v>
      </c>
    </row>
    <row r="46" spans="1:35">
      <c r="A46">
        <v>10611</v>
      </c>
      <c r="B46" s="2">
        <v>46022</v>
      </c>
      <c r="C46" s="1">
        <v>6</v>
      </c>
      <c r="D46" s="1" t="s">
        <v>35</v>
      </c>
      <c r="E46" s="1" t="s">
        <v>36</v>
      </c>
      <c r="F46" s="1">
        <v>10612</v>
      </c>
      <c r="G46" s="1" t="s">
        <v>47</v>
      </c>
      <c r="H46" s="1" t="s">
        <v>47</v>
      </c>
      <c r="I46" s="1">
        <v>30</v>
      </c>
      <c r="J46" s="1" t="s">
        <v>283</v>
      </c>
      <c r="K46" s="1" t="e">
        <v>#N/A</v>
      </c>
      <c r="L46" s="1" t="s">
        <v>284</v>
      </c>
      <c r="M46">
        <v>2</v>
      </c>
      <c r="N46">
        <v>1</v>
      </c>
      <c r="O46">
        <v>0</v>
      </c>
      <c r="P46">
        <f>SUM(N32:O32)</f>
        <v>1</v>
      </c>
      <c r="Q46">
        <v>1</v>
      </c>
      <c r="R46">
        <f t="shared" si="7"/>
        <v>20</v>
      </c>
      <c r="S46">
        <v>20</v>
      </c>
      <c r="T46">
        <v>0</v>
      </c>
      <c r="V46">
        <f t="shared" si="8"/>
        <v>0</v>
      </c>
      <c r="W46">
        <f t="shared" si="9"/>
        <v>20</v>
      </c>
      <c r="Y46">
        <v>1</v>
      </c>
      <c r="Z46">
        <v>1</v>
      </c>
      <c r="AD46">
        <f t="shared" si="11"/>
        <v>0</v>
      </c>
      <c r="AE46">
        <f t="shared" si="12"/>
        <v>0</v>
      </c>
      <c r="AH46">
        <v>0</v>
      </c>
      <c r="AI46">
        <v>0</v>
      </c>
    </row>
    <row r="47" spans="1:35">
      <c r="A47">
        <v>10314</v>
      </c>
      <c r="B47" s="2">
        <v>46022</v>
      </c>
      <c r="C47" s="1">
        <v>6</v>
      </c>
      <c r="D47" s="1" t="s">
        <v>35</v>
      </c>
      <c r="E47" s="1" t="s">
        <v>36</v>
      </c>
      <c r="F47" s="1">
        <v>10315</v>
      </c>
      <c r="G47" s="1" t="s">
        <v>47</v>
      </c>
      <c r="H47" s="1" t="s">
        <v>47</v>
      </c>
      <c r="I47" s="1">
        <v>30</v>
      </c>
      <c r="J47" s="1" t="s">
        <v>101</v>
      </c>
      <c r="K47" s="1" t="e">
        <v>#N/A</v>
      </c>
      <c r="L47" s="1" t="s">
        <v>102</v>
      </c>
      <c r="M47">
        <v>6</v>
      </c>
      <c r="N47">
        <v>0</v>
      </c>
      <c r="O47">
        <v>6</v>
      </c>
      <c r="P47">
        <f t="shared" ref="P47:P67" si="13">SUM(N48:O48)</f>
        <v>0</v>
      </c>
      <c r="Q47">
        <v>2</v>
      </c>
      <c r="R47" t="e">
        <f t="shared" si="7"/>
        <v>#DIV/0!</v>
      </c>
      <c r="S47">
        <v>25</v>
      </c>
      <c r="T47">
        <v>0</v>
      </c>
      <c r="V47">
        <f t="shared" si="8"/>
        <v>0</v>
      </c>
      <c r="W47">
        <f t="shared" si="9"/>
        <v>25</v>
      </c>
      <c r="Y47">
        <v>2</v>
      </c>
      <c r="Z47">
        <v>2</v>
      </c>
      <c r="AD47">
        <f t="shared" si="11"/>
        <v>0</v>
      </c>
      <c r="AE47">
        <f t="shared" si="12"/>
        <v>0</v>
      </c>
      <c r="AH47">
        <v>0</v>
      </c>
      <c r="AI47">
        <v>0</v>
      </c>
    </row>
    <row r="48" spans="1:35">
      <c r="A48">
        <v>10382</v>
      </c>
      <c r="B48" s="2">
        <v>46022</v>
      </c>
      <c r="C48" s="1">
        <v>6</v>
      </c>
      <c r="D48" s="1" t="s">
        <v>35</v>
      </c>
      <c r="E48" s="1" t="s">
        <v>36</v>
      </c>
      <c r="F48" s="1">
        <v>10383</v>
      </c>
      <c r="G48" s="1" t="s">
        <v>47</v>
      </c>
      <c r="H48" s="1" t="s">
        <v>47</v>
      </c>
      <c r="I48" s="1">
        <v>30</v>
      </c>
      <c r="J48" s="1" t="s">
        <v>157</v>
      </c>
      <c r="K48" s="1" t="e">
        <v>#N/A</v>
      </c>
      <c r="L48" s="1" t="s">
        <v>40</v>
      </c>
      <c r="P48">
        <f t="shared" si="13"/>
        <v>7</v>
      </c>
      <c r="R48">
        <f t="shared" si="7"/>
        <v>0</v>
      </c>
      <c r="V48">
        <f t="shared" si="8"/>
        <v>0</v>
      </c>
      <c r="W48">
        <f t="shared" si="9"/>
        <v>0</v>
      </c>
      <c r="AD48">
        <f t="shared" si="11"/>
        <v>0</v>
      </c>
      <c r="AE48">
        <f t="shared" si="12"/>
        <v>0</v>
      </c>
    </row>
    <row r="49" spans="1:35">
      <c r="A49">
        <v>10462</v>
      </c>
      <c r="B49" s="2">
        <v>46022</v>
      </c>
      <c r="C49" s="1">
        <v>6</v>
      </c>
      <c r="D49" s="1" t="s">
        <v>35</v>
      </c>
      <c r="E49" s="1" t="s">
        <v>36</v>
      </c>
      <c r="F49" s="1">
        <v>10463</v>
      </c>
      <c r="G49" s="1" t="s">
        <v>47</v>
      </c>
      <c r="H49" s="1" t="s">
        <v>47</v>
      </c>
      <c r="I49" s="1">
        <v>30</v>
      </c>
      <c r="J49" s="1" t="s">
        <v>193</v>
      </c>
      <c r="K49" s="1" t="e">
        <v>#N/A</v>
      </c>
      <c r="L49" s="1" t="s">
        <v>194</v>
      </c>
      <c r="M49">
        <v>16</v>
      </c>
      <c r="N49">
        <v>1</v>
      </c>
      <c r="O49">
        <v>6</v>
      </c>
      <c r="P49">
        <f t="shared" si="13"/>
        <v>6</v>
      </c>
      <c r="Q49">
        <v>6</v>
      </c>
      <c r="R49">
        <f t="shared" si="7"/>
        <v>35</v>
      </c>
      <c r="S49">
        <v>210</v>
      </c>
      <c r="T49">
        <v>86</v>
      </c>
      <c r="V49">
        <f t="shared" si="8"/>
        <v>0</v>
      </c>
      <c r="W49">
        <f t="shared" si="9"/>
        <v>210</v>
      </c>
      <c r="Y49">
        <v>17</v>
      </c>
      <c r="Z49">
        <v>1</v>
      </c>
      <c r="AD49">
        <f t="shared" si="11"/>
        <v>0</v>
      </c>
      <c r="AE49">
        <f t="shared" si="12"/>
        <v>0</v>
      </c>
      <c r="AH49">
        <v>5</v>
      </c>
      <c r="AI49">
        <v>2</v>
      </c>
    </row>
    <row r="50" spans="1:35">
      <c r="A50">
        <v>10560</v>
      </c>
      <c r="B50" s="2">
        <v>46022</v>
      </c>
      <c r="C50" s="1">
        <v>6</v>
      </c>
      <c r="D50" s="1" t="s">
        <v>35</v>
      </c>
      <c r="E50" s="1" t="s">
        <v>36</v>
      </c>
      <c r="F50" s="1">
        <v>10561</v>
      </c>
      <c r="G50" s="1" t="s">
        <v>47</v>
      </c>
      <c r="H50" s="1" t="s">
        <v>47</v>
      </c>
      <c r="I50" s="1">
        <v>30</v>
      </c>
      <c r="J50" s="1" t="s">
        <v>235</v>
      </c>
      <c r="K50" s="1" t="e">
        <v>#N/A</v>
      </c>
      <c r="L50" s="1" t="s">
        <v>236</v>
      </c>
      <c r="M50">
        <v>15</v>
      </c>
      <c r="N50">
        <v>0</v>
      </c>
      <c r="O50">
        <v>6</v>
      </c>
      <c r="P50">
        <f t="shared" si="13"/>
        <v>9</v>
      </c>
      <c r="Q50">
        <v>8</v>
      </c>
      <c r="R50">
        <f t="shared" si="7"/>
        <v>22.444444444444443</v>
      </c>
      <c r="S50">
        <v>202</v>
      </c>
      <c r="T50">
        <v>17</v>
      </c>
      <c r="V50">
        <f t="shared" si="8"/>
        <v>0</v>
      </c>
      <c r="W50">
        <f t="shared" si="9"/>
        <v>202</v>
      </c>
      <c r="Y50">
        <v>21</v>
      </c>
      <c r="Z50">
        <v>1</v>
      </c>
      <c r="AD50">
        <f t="shared" si="11"/>
        <v>0</v>
      </c>
      <c r="AE50">
        <f t="shared" si="12"/>
        <v>0</v>
      </c>
      <c r="AH50">
        <v>5</v>
      </c>
      <c r="AI50">
        <v>1</v>
      </c>
    </row>
    <row r="51" spans="1:35">
      <c r="A51">
        <v>10671</v>
      </c>
      <c r="B51" s="2">
        <v>46022</v>
      </c>
      <c r="C51" s="1">
        <v>6</v>
      </c>
      <c r="D51" s="1" t="s">
        <v>35</v>
      </c>
      <c r="E51" s="1" t="s">
        <v>36</v>
      </c>
      <c r="F51" s="1">
        <v>10672</v>
      </c>
      <c r="G51" s="1" t="s">
        <v>47</v>
      </c>
      <c r="H51" s="1" t="s">
        <v>47</v>
      </c>
      <c r="I51" s="1">
        <v>30</v>
      </c>
      <c r="J51" s="1" t="s">
        <v>318</v>
      </c>
      <c r="K51" s="1" t="e">
        <v>#N/A</v>
      </c>
      <c r="L51" s="1" t="s">
        <v>319</v>
      </c>
      <c r="M51">
        <v>16</v>
      </c>
      <c r="N51">
        <v>0</v>
      </c>
      <c r="O51">
        <v>9</v>
      </c>
      <c r="P51">
        <f t="shared" si="13"/>
        <v>8</v>
      </c>
      <c r="Q51">
        <v>9</v>
      </c>
      <c r="R51">
        <f t="shared" si="7"/>
        <v>25.375</v>
      </c>
      <c r="S51">
        <v>203</v>
      </c>
      <c r="T51">
        <v>29</v>
      </c>
      <c r="V51">
        <f t="shared" si="8"/>
        <v>0</v>
      </c>
      <c r="W51">
        <f t="shared" si="9"/>
        <v>203</v>
      </c>
      <c r="Y51">
        <v>17</v>
      </c>
      <c r="Z51">
        <v>1</v>
      </c>
      <c r="AD51">
        <f t="shared" si="11"/>
        <v>0</v>
      </c>
      <c r="AE51">
        <f t="shared" si="12"/>
        <v>0</v>
      </c>
      <c r="AH51">
        <v>5</v>
      </c>
      <c r="AI51">
        <v>2</v>
      </c>
    </row>
    <row r="52" spans="1:35">
      <c r="A52">
        <v>10657</v>
      </c>
      <c r="B52" s="2">
        <v>46022</v>
      </c>
      <c r="C52" s="1">
        <v>6</v>
      </c>
      <c r="D52" s="1" t="s">
        <v>35</v>
      </c>
      <c r="E52" s="1" t="s">
        <v>36</v>
      </c>
      <c r="F52" s="1">
        <v>10658</v>
      </c>
      <c r="G52" s="1" t="s">
        <v>47</v>
      </c>
      <c r="H52" s="1" t="s">
        <v>47</v>
      </c>
      <c r="I52" s="1">
        <v>30</v>
      </c>
      <c r="J52" s="1" t="s">
        <v>312</v>
      </c>
      <c r="K52" s="1" t="e">
        <v>#N/A</v>
      </c>
      <c r="L52" s="1" t="s">
        <v>313</v>
      </c>
      <c r="M52">
        <v>13</v>
      </c>
      <c r="N52">
        <v>0</v>
      </c>
      <c r="O52">
        <v>8</v>
      </c>
      <c r="P52">
        <f t="shared" si="13"/>
        <v>5</v>
      </c>
      <c r="Q52">
        <v>9</v>
      </c>
      <c r="R52">
        <f t="shared" si="7"/>
        <v>43.4</v>
      </c>
      <c r="S52">
        <v>217</v>
      </c>
      <c r="T52">
        <v>56</v>
      </c>
      <c r="V52">
        <f t="shared" si="8"/>
        <v>0</v>
      </c>
      <c r="W52">
        <f t="shared" si="9"/>
        <v>217</v>
      </c>
      <c r="Y52">
        <v>16</v>
      </c>
      <c r="Z52">
        <v>1</v>
      </c>
      <c r="AD52">
        <f t="shared" si="11"/>
        <v>0</v>
      </c>
      <c r="AE52">
        <f t="shared" si="12"/>
        <v>0</v>
      </c>
      <c r="AH52">
        <v>2</v>
      </c>
      <c r="AI52">
        <v>1</v>
      </c>
    </row>
    <row r="53" spans="1:35">
      <c r="A53">
        <v>10453</v>
      </c>
      <c r="B53" s="2">
        <v>46022</v>
      </c>
      <c r="C53" s="1">
        <v>6</v>
      </c>
      <c r="D53" s="1" t="s">
        <v>35</v>
      </c>
      <c r="E53" s="1" t="s">
        <v>36</v>
      </c>
      <c r="F53" s="1">
        <v>10454</v>
      </c>
      <c r="G53" s="1" t="s">
        <v>47</v>
      </c>
      <c r="H53" s="1" t="s">
        <v>47</v>
      </c>
      <c r="I53" s="1">
        <v>30</v>
      </c>
      <c r="J53" s="1" t="s">
        <v>184</v>
      </c>
      <c r="K53" s="1" t="e">
        <v>#N/A</v>
      </c>
      <c r="L53" s="1" t="s">
        <v>185</v>
      </c>
      <c r="M53">
        <v>9</v>
      </c>
      <c r="N53">
        <v>1</v>
      </c>
      <c r="O53">
        <v>4</v>
      </c>
      <c r="P53">
        <f t="shared" si="13"/>
        <v>0</v>
      </c>
      <c r="Q53">
        <v>9</v>
      </c>
      <c r="R53" t="e">
        <f t="shared" si="7"/>
        <v>#DIV/0!</v>
      </c>
      <c r="S53">
        <v>135</v>
      </c>
      <c r="T53">
        <v>21</v>
      </c>
      <c r="V53">
        <f t="shared" si="8"/>
        <v>0</v>
      </c>
      <c r="W53">
        <f t="shared" si="9"/>
        <v>135</v>
      </c>
      <c r="Y53">
        <v>14</v>
      </c>
      <c r="Z53">
        <v>1</v>
      </c>
      <c r="AD53">
        <f t="shared" si="11"/>
        <v>0</v>
      </c>
      <c r="AE53">
        <f t="shared" si="12"/>
        <v>0</v>
      </c>
      <c r="AH53">
        <v>4</v>
      </c>
      <c r="AI53">
        <v>3</v>
      </c>
    </row>
    <row r="54" spans="1:35">
      <c r="A54">
        <v>10446</v>
      </c>
      <c r="B54" s="2">
        <v>46022</v>
      </c>
      <c r="C54" s="1">
        <v>6</v>
      </c>
      <c r="D54" s="1" t="s">
        <v>35</v>
      </c>
      <c r="E54" s="1" t="s">
        <v>36</v>
      </c>
      <c r="F54" s="1">
        <v>10447</v>
      </c>
      <c r="G54" s="1" t="s">
        <v>47</v>
      </c>
      <c r="H54" s="1" t="s">
        <v>47</v>
      </c>
      <c r="I54" s="1">
        <v>30</v>
      </c>
      <c r="J54" s="1" t="s">
        <v>176</v>
      </c>
      <c r="K54" s="1" t="e">
        <v>#N/A</v>
      </c>
      <c r="L54" s="1" t="s">
        <v>177</v>
      </c>
      <c r="P54">
        <f t="shared" si="13"/>
        <v>0</v>
      </c>
      <c r="R54" t="e">
        <f t="shared" si="7"/>
        <v>#DIV/0!</v>
      </c>
      <c r="V54">
        <f t="shared" si="8"/>
        <v>0</v>
      </c>
      <c r="W54">
        <f t="shared" si="9"/>
        <v>0</v>
      </c>
      <c r="AD54">
        <f t="shared" si="11"/>
        <v>0</v>
      </c>
      <c r="AE54">
        <f t="shared" si="12"/>
        <v>0</v>
      </c>
    </row>
    <row r="55" spans="1:35">
      <c r="A55">
        <v>10700</v>
      </c>
      <c r="B55" s="2">
        <v>46022</v>
      </c>
      <c r="C55" s="1">
        <v>6</v>
      </c>
      <c r="D55" s="1" t="s">
        <v>35</v>
      </c>
      <c r="E55" s="1" t="s">
        <v>36</v>
      </c>
      <c r="F55" s="1">
        <v>10701</v>
      </c>
      <c r="G55" s="1" t="s">
        <v>47</v>
      </c>
      <c r="H55" s="1" t="s">
        <v>47</v>
      </c>
      <c r="I55" s="1">
        <v>30</v>
      </c>
      <c r="J55" s="1" t="s">
        <v>334</v>
      </c>
      <c r="K55" s="1" t="e">
        <v>#N/A</v>
      </c>
      <c r="L55" s="1" t="s">
        <v>335</v>
      </c>
      <c r="P55">
        <f t="shared" si="13"/>
        <v>8</v>
      </c>
      <c r="R55">
        <f t="shared" si="7"/>
        <v>0</v>
      </c>
      <c r="V55">
        <f t="shared" si="8"/>
        <v>0</v>
      </c>
      <c r="W55">
        <f t="shared" si="9"/>
        <v>0</v>
      </c>
      <c r="AD55">
        <f t="shared" si="11"/>
        <v>0</v>
      </c>
      <c r="AE55">
        <f t="shared" si="12"/>
        <v>0</v>
      </c>
    </row>
    <row r="56" spans="1:35">
      <c r="A56">
        <v>10672</v>
      </c>
      <c r="B56" s="2">
        <v>46022</v>
      </c>
      <c r="C56" s="1">
        <v>6</v>
      </c>
      <c r="D56" s="1" t="s">
        <v>35</v>
      </c>
      <c r="E56" s="1" t="s">
        <v>36</v>
      </c>
      <c r="F56" s="1">
        <v>10673</v>
      </c>
      <c r="G56" s="1" t="s">
        <v>47</v>
      </c>
      <c r="H56" s="1" t="s">
        <v>47</v>
      </c>
      <c r="I56" s="1">
        <v>30</v>
      </c>
      <c r="J56" s="1" t="s">
        <v>320</v>
      </c>
      <c r="K56" s="1" t="e">
        <v>#N/A</v>
      </c>
      <c r="L56" s="1" t="s">
        <v>321</v>
      </c>
      <c r="M56">
        <v>9</v>
      </c>
      <c r="N56">
        <v>1</v>
      </c>
      <c r="O56">
        <v>7</v>
      </c>
      <c r="P56">
        <f t="shared" si="13"/>
        <v>5</v>
      </c>
      <c r="Q56">
        <v>9</v>
      </c>
      <c r="R56">
        <f t="shared" si="7"/>
        <v>41.6</v>
      </c>
      <c r="S56">
        <v>208</v>
      </c>
      <c r="T56">
        <v>76</v>
      </c>
      <c r="V56">
        <f t="shared" si="8"/>
        <v>0</v>
      </c>
      <c r="W56">
        <f t="shared" si="9"/>
        <v>208</v>
      </c>
      <c r="Y56">
        <v>19</v>
      </c>
      <c r="Z56">
        <v>1</v>
      </c>
      <c r="AD56">
        <f t="shared" si="11"/>
        <v>0</v>
      </c>
      <c r="AE56">
        <f t="shared" si="12"/>
        <v>0</v>
      </c>
      <c r="AH56">
        <v>4</v>
      </c>
      <c r="AI56">
        <v>1</v>
      </c>
    </row>
    <row r="57" spans="1:35">
      <c r="A57">
        <v>10576</v>
      </c>
      <c r="B57" s="2">
        <v>46022</v>
      </c>
      <c r="C57" s="1">
        <v>6</v>
      </c>
      <c r="D57" s="1" t="s">
        <v>35</v>
      </c>
      <c r="E57" s="1" t="s">
        <v>36</v>
      </c>
      <c r="F57" s="1">
        <v>10577</v>
      </c>
      <c r="G57" s="1" t="s">
        <v>47</v>
      </c>
      <c r="H57" s="1" t="s">
        <v>47</v>
      </c>
      <c r="I57" s="1">
        <v>30</v>
      </c>
      <c r="J57" s="1" t="s">
        <v>259</v>
      </c>
      <c r="K57" s="1" t="e">
        <v>#N/A</v>
      </c>
      <c r="L57" s="1" t="s">
        <v>260</v>
      </c>
      <c r="M57">
        <v>9</v>
      </c>
      <c r="N57">
        <v>0</v>
      </c>
      <c r="O57">
        <v>5</v>
      </c>
      <c r="P57">
        <f t="shared" si="13"/>
        <v>0</v>
      </c>
      <c r="Q57">
        <v>6</v>
      </c>
      <c r="R57" t="e">
        <f t="shared" si="7"/>
        <v>#DIV/0!</v>
      </c>
      <c r="S57">
        <v>129</v>
      </c>
      <c r="T57">
        <v>17</v>
      </c>
      <c r="V57">
        <f t="shared" si="8"/>
        <v>0</v>
      </c>
      <c r="W57">
        <f t="shared" si="9"/>
        <v>129</v>
      </c>
      <c r="Y57">
        <v>14</v>
      </c>
      <c r="Z57">
        <v>1</v>
      </c>
      <c r="AD57">
        <f t="shared" si="11"/>
        <v>0</v>
      </c>
      <c r="AE57">
        <f t="shared" si="12"/>
        <v>0</v>
      </c>
      <c r="AH57">
        <v>4</v>
      </c>
      <c r="AI57">
        <v>1</v>
      </c>
    </row>
    <row r="58" spans="1:35">
      <c r="A58">
        <v>10351</v>
      </c>
      <c r="B58" s="2">
        <v>46022</v>
      </c>
      <c r="C58" s="1">
        <v>6</v>
      </c>
      <c r="D58" s="1" t="s">
        <v>35</v>
      </c>
      <c r="E58" s="1" t="s">
        <v>36</v>
      </c>
      <c r="F58" s="1">
        <v>10352</v>
      </c>
      <c r="G58" s="1" t="s">
        <v>47</v>
      </c>
      <c r="H58" s="1" t="s">
        <v>47</v>
      </c>
      <c r="I58" s="1">
        <v>30</v>
      </c>
      <c r="J58" s="1" t="s">
        <v>142</v>
      </c>
      <c r="K58" s="1" t="e">
        <v>#N/A</v>
      </c>
      <c r="L58" s="1" t="s">
        <v>143</v>
      </c>
      <c r="P58">
        <f t="shared" si="13"/>
        <v>1</v>
      </c>
      <c r="R58">
        <f t="shared" si="7"/>
        <v>0</v>
      </c>
      <c r="V58">
        <f t="shared" si="8"/>
        <v>0</v>
      </c>
      <c r="W58">
        <f t="shared" si="9"/>
        <v>0</v>
      </c>
      <c r="AD58">
        <f t="shared" si="11"/>
        <v>0</v>
      </c>
      <c r="AE58">
        <f t="shared" si="12"/>
        <v>0</v>
      </c>
    </row>
    <row r="59" spans="1:35">
      <c r="A59">
        <v>10715</v>
      </c>
      <c r="B59" s="2">
        <v>46022</v>
      </c>
      <c r="C59" s="1">
        <v>6</v>
      </c>
      <c r="D59" s="1" t="s">
        <v>35</v>
      </c>
      <c r="E59" s="1" t="s">
        <v>36</v>
      </c>
      <c r="F59" s="1">
        <v>10716</v>
      </c>
      <c r="G59" s="1" t="s">
        <v>47</v>
      </c>
      <c r="H59" s="1" t="s">
        <v>47</v>
      </c>
      <c r="I59" s="1">
        <v>30</v>
      </c>
      <c r="J59" s="1" t="s">
        <v>336</v>
      </c>
      <c r="K59" s="1">
        <v>14055</v>
      </c>
      <c r="L59" s="1" t="s">
        <v>337</v>
      </c>
      <c r="M59">
        <v>1</v>
      </c>
      <c r="N59">
        <v>1</v>
      </c>
      <c r="O59">
        <v>0</v>
      </c>
      <c r="P59">
        <f t="shared" si="13"/>
        <v>0</v>
      </c>
      <c r="Q59">
        <v>1</v>
      </c>
      <c r="R59" t="e">
        <f t="shared" si="7"/>
        <v>#DIV/0!</v>
      </c>
      <c r="S59">
        <v>2</v>
      </c>
      <c r="T59">
        <v>0</v>
      </c>
      <c r="V59">
        <f t="shared" si="8"/>
        <v>0</v>
      </c>
      <c r="W59">
        <f t="shared" si="9"/>
        <v>2</v>
      </c>
      <c r="Y59">
        <v>2</v>
      </c>
      <c r="Z59">
        <v>1</v>
      </c>
      <c r="AD59">
        <f t="shared" si="11"/>
        <v>0</v>
      </c>
      <c r="AE59">
        <f t="shared" si="12"/>
        <v>0</v>
      </c>
      <c r="AH59">
        <v>0</v>
      </c>
      <c r="AI59">
        <v>0</v>
      </c>
    </row>
    <row r="60" spans="1:35">
      <c r="A60">
        <v>10325</v>
      </c>
      <c r="B60" s="2">
        <v>46022</v>
      </c>
      <c r="C60" s="1">
        <v>6</v>
      </c>
      <c r="D60" s="1" t="s">
        <v>35</v>
      </c>
      <c r="E60" s="1" t="s">
        <v>36</v>
      </c>
      <c r="F60" s="1">
        <v>10326</v>
      </c>
      <c r="G60" s="1" t="s">
        <v>47</v>
      </c>
      <c r="H60" s="1" t="s">
        <v>47</v>
      </c>
      <c r="I60" s="1">
        <v>30</v>
      </c>
      <c r="J60" s="1" t="s">
        <v>117</v>
      </c>
      <c r="K60" s="1" t="e">
        <v>#N/A</v>
      </c>
      <c r="L60" s="1" t="s">
        <v>118</v>
      </c>
      <c r="P60">
        <f t="shared" si="13"/>
        <v>0</v>
      </c>
      <c r="R60" t="e">
        <f t="shared" si="7"/>
        <v>#DIV/0!</v>
      </c>
      <c r="V60">
        <f t="shared" si="8"/>
        <v>0</v>
      </c>
      <c r="W60">
        <f t="shared" si="9"/>
        <v>0</v>
      </c>
      <c r="AD60">
        <f t="shared" si="11"/>
        <v>0</v>
      </c>
      <c r="AE60">
        <f t="shared" si="12"/>
        <v>0</v>
      </c>
    </row>
    <row r="61" spans="1:35">
      <c r="A61">
        <v>10352</v>
      </c>
      <c r="B61" s="2">
        <v>46022</v>
      </c>
      <c r="C61" s="1">
        <v>6</v>
      </c>
      <c r="D61" s="1" t="s">
        <v>35</v>
      </c>
      <c r="E61" s="1" t="s">
        <v>36</v>
      </c>
      <c r="F61" s="1">
        <v>10353</v>
      </c>
      <c r="G61" s="1" t="s">
        <v>47</v>
      </c>
      <c r="H61" s="1" t="s">
        <v>47</v>
      </c>
      <c r="I61" s="1">
        <v>30</v>
      </c>
      <c r="J61" s="1" t="s">
        <v>144</v>
      </c>
      <c r="K61" s="1" t="e">
        <v>#N/A</v>
      </c>
      <c r="L61" s="1" t="s">
        <v>145</v>
      </c>
      <c r="P61">
        <f t="shared" si="13"/>
        <v>18</v>
      </c>
      <c r="R61">
        <f t="shared" si="7"/>
        <v>0</v>
      </c>
      <c r="V61">
        <f t="shared" si="8"/>
        <v>0</v>
      </c>
      <c r="W61">
        <f t="shared" si="9"/>
        <v>0</v>
      </c>
      <c r="AD61">
        <f t="shared" si="11"/>
        <v>0</v>
      </c>
      <c r="AE61">
        <f t="shared" si="12"/>
        <v>0</v>
      </c>
    </row>
    <row r="62" spans="1:35">
      <c r="A62">
        <v>10320</v>
      </c>
      <c r="B62" s="2">
        <v>46022</v>
      </c>
      <c r="C62" s="1">
        <v>6</v>
      </c>
      <c r="D62" s="1" t="s">
        <v>35</v>
      </c>
      <c r="E62" s="1" t="s">
        <v>36</v>
      </c>
      <c r="F62" s="1">
        <v>10321</v>
      </c>
      <c r="G62" s="1" t="s">
        <v>47</v>
      </c>
      <c r="H62" s="1" t="s">
        <v>47</v>
      </c>
      <c r="I62" s="1">
        <v>30</v>
      </c>
      <c r="J62" s="1" t="s">
        <v>109</v>
      </c>
      <c r="K62" s="1" t="e">
        <v>#N/A</v>
      </c>
      <c r="L62" s="1" t="s">
        <v>110</v>
      </c>
      <c r="M62">
        <v>14</v>
      </c>
      <c r="N62">
        <v>6</v>
      </c>
      <c r="O62">
        <v>12</v>
      </c>
      <c r="P62">
        <f t="shared" si="13"/>
        <v>7</v>
      </c>
      <c r="Q62">
        <v>2</v>
      </c>
      <c r="R62">
        <f t="shared" si="7"/>
        <v>39.142857142857146</v>
      </c>
      <c r="S62">
        <v>274</v>
      </c>
      <c r="T62">
        <v>2</v>
      </c>
      <c r="V62">
        <f t="shared" si="8"/>
        <v>0</v>
      </c>
      <c r="W62">
        <f t="shared" si="9"/>
        <v>274</v>
      </c>
      <c r="Y62">
        <v>3</v>
      </c>
      <c r="Z62">
        <v>3</v>
      </c>
      <c r="AD62">
        <f t="shared" si="11"/>
        <v>0</v>
      </c>
      <c r="AE62">
        <f t="shared" si="12"/>
        <v>0</v>
      </c>
      <c r="AH62">
        <v>0</v>
      </c>
      <c r="AI62">
        <v>0</v>
      </c>
    </row>
    <row r="63" spans="1:35">
      <c r="A63">
        <v>10347</v>
      </c>
      <c r="B63" s="2">
        <v>46022</v>
      </c>
      <c r="C63" s="1">
        <v>6</v>
      </c>
      <c r="D63" s="1" t="s">
        <v>35</v>
      </c>
      <c r="E63" s="1" t="s">
        <v>36</v>
      </c>
      <c r="F63" s="1">
        <v>10348</v>
      </c>
      <c r="G63" s="1" t="s">
        <v>47</v>
      </c>
      <c r="H63" s="1" t="s">
        <v>47</v>
      </c>
      <c r="I63" s="1">
        <v>30</v>
      </c>
      <c r="J63" s="1" t="s">
        <v>138</v>
      </c>
      <c r="K63" s="1" t="e">
        <v>#N/A</v>
      </c>
      <c r="L63" s="1" t="s">
        <v>139</v>
      </c>
      <c r="M63">
        <v>5</v>
      </c>
      <c r="N63">
        <v>2</v>
      </c>
      <c r="O63">
        <v>5</v>
      </c>
      <c r="P63">
        <f t="shared" si="13"/>
        <v>0</v>
      </c>
      <c r="Q63">
        <v>2</v>
      </c>
      <c r="R63" t="e">
        <f t="shared" si="7"/>
        <v>#DIV/0!</v>
      </c>
      <c r="S63">
        <v>18</v>
      </c>
      <c r="T63">
        <v>0</v>
      </c>
      <c r="V63">
        <f t="shared" si="8"/>
        <v>0</v>
      </c>
      <c r="W63">
        <f t="shared" si="9"/>
        <v>18</v>
      </c>
      <c r="Y63">
        <v>5</v>
      </c>
      <c r="Z63">
        <v>4</v>
      </c>
      <c r="AD63">
        <f t="shared" si="11"/>
        <v>0</v>
      </c>
      <c r="AE63">
        <f t="shared" si="12"/>
        <v>0</v>
      </c>
      <c r="AH63">
        <v>0</v>
      </c>
      <c r="AI63">
        <v>0</v>
      </c>
    </row>
    <row r="64" spans="1:35">
      <c r="A64">
        <v>10326</v>
      </c>
      <c r="B64" s="2">
        <v>46022</v>
      </c>
      <c r="C64" s="1">
        <v>6</v>
      </c>
      <c r="D64" s="1" t="s">
        <v>35</v>
      </c>
      <c r="E64" s="1" t="s">
        <v>36</v>
      </c>
      <c r="F64" s="1">
        <v>10327</v>
      </c>
      <c r="G64" s="1" t="s">
        <v>47</v>
      </c>
      <c r="H64" s="1" t="s">
        <v>47</v>
      </c>
      <c r="I64" s="1">
        <v>30</v>
      </c>
      <c r="J64" s="1" t="s">
        <v>119</v>
      </c>
      <c r="K64" s="1" t="e">
        <v>#N/A</v>
      </c>
      <c r="L64" s="1" t="s">
        <v>120</v>
      </c>
      <c r="P64">
        <f t="shared" si="13"/>
        <v>2</v>
      </c>
      <c r="R64">
        <f t="shared" si="7"/>
        <v>0</v>
      </c>
      <c r="V64">
        <f t="shared" si="8"/>
        <v>0</v>
      </c>
      <c r="W64">
        <f t="shared" si="9"/>
        <v>0</v>
      </c>
      <c r="AD64">
        <f t="shared" si="11"/>
        <v>0</v>
      </c>
      <c r="AE64">
        <f t="shared" si="12"/>
        <v>0</v>
      </c>
    </row>
    <row r="65" spans="1:35">
      <c r="A65">
        <v>10806</v>
      </c>
      <c r="B65" s="2">
        <v>46022</v>
      </c>
      <c r="C65" s="1">
        <v>6</v>
      </c>
      <c r="D65" s="1" t="s">
        <v>35</v>
      </c>
      <c r="E65" s="1" t="s">
        <v>36</v>
      </c>
      <c r="F65" s="1">
        <v>10807</v>
      </c>
      <c r="G65" s="1" t="s">
        <v>47</v>
      </c>
      <c r="H65" s="1" t="s">
        <v>47</v>
      </c>
      <c r="I65" s="1">
        <v>30</v>
      </c>
      <c r="J65" s="1" t="s">
        <v>410</v>
      </c>
      <c r="K65" s="1" t="e">
        <v>#N/A</v>
      </c>
      <c r="L65" s="1" t="s">
        <v>411</v>
      </c>
      <c r="M65">
        <v>1</v>
      </c>
      <c r="N65">
        <v>1</v>
      </c>
      <c r="O65">
        <v>1</v>
      </c>
      <c r="P65">
        <f t="shared" si="13"/>
        <v>1</v>
      </c>
      <c r="Q65">
        <v>2</v>
      </c>
      <c r="R65">
        <f t="shared" si="7"/>
        <v>8</v>
      </c>
      <c r="S65">
        <v>8</v>
      </c>
      <c r="T65">
        <v>1</v>
      </c>
      <c r="V65">
        <f t="shared" si="8"/>
        <v>0</v>
      </c>
      <c r="W65">
        <f t="shared" si="9"/>
        <v>8</v>
      </c>
      <c r="Y65">
        <v>5</v>
      </c>
      <c r="Z65">
        <v>3</v>
      </c>
      <c r="AD65">
        <f t="shared" si="11"/>
        <v>0</v>
      </c>
      <c r="AE65">
        <f t="shared" si="12"/>
        <v>0</v>
      </c>
      <c r="AH65">
        <v>0</v>
      </c>
      <c r="AI65">
        <v>0</v>
      </c>
    </row>
    <row r="66" spans="1:35">
      <c r="A66">
        <v>10807</v>
      </c>
      <c r="B66" s="2">
        <v>46022</v>
      </c>
      <c r="C66" s="1">
        <v>6</v>
      </c>
      <c r="D66" s="1" t="s">
        <v>35</v>
      </c>
      <c r="E66" s="1" t="s">
        <v>36</v>
      </c>
      <c r="F66" s="1">
        <v>10808</v>
      </c>
      <c r="G66" s="1" t="s">
        <v>47</v>
      </c>
      <c r="H66" s="1" t="s">
        <v>47</v>
      </c>
      <c r="I66" s="1">
        <v>30</v>
      </c>
      <c r="J66" s="1" t="s">
        <v>412</v>
      </c>
      <c r="K66" s="1" t="e">
        <v>#N/A</v>
      </c>
      <c r="L66" s="1" t="s">
        <v>413</v>
      </c>
      <c r="M66">
        <v>1</v>
      </c>
      <c r="N66">
        <v>0</v>
      </c>
      <c r="O66">
        <v>1</v>
      </c>
      <c r="P66">
        <f t="shared" si="13"/>
        <v>5</v>
      </c>
      <c r="Q66">
        <v>1</v>
      </c>
      <c r="R66">
        <f t="shared" si="7"/>
        <v>9</v>
      </c>
      <c r="S66">
        <v>45</v>
      </c>
      <c r="T66">
        <v>5</v>
      </c>
      <c r="V66">
        <f t="shared" si="8"/>
        <v>0</v>
      </c>
      <c r="W66">
        <f t="shared" si="9"/>
        <v>45</v>
      </c>
      <c r="Y66">
        <v>4</v>
      </c>
      <c r="Z66">
        <v>3</v>
      </c>
      <c r="AD66">
        <f t="shared" si="11"/>
        <v>0</v>
      </c>
      <c r="AE66">
        <f t="shared" si="12"/>
        <v>0</v>
      </c>
      <c r="AH66">
        <v>0</v>
      </c>
      <c r="AI66">
        <v>0</v>
      </c>
    </row>
    <row r="67" spans="1:35">
      <c r="A67">
        <v>10808</v>
      </c>
      <c r="B67" s="2">
        <v>46022</v>
      </c>
      <c r="C67" s="1">
        <v>6</v>
      </c>
      <c r="D67" s="1" t="s">
        <v>35</v>
      </c>
      <c r="E67" s="1" t="s">
        <v>36</v>
      </c>
      <c r="F67" s="1">
        <v>10809</v>
      </c>
      <c r="G67" s="1" t="s">
        <v>47</v>
      </c>
      <c r="H67" s="1" t="s">
        <v>47</v>
      </c>
      <c r="I67" s="1">
        <v>30</v>
      </c>
      <c r="J67" s="1" t="s">
        <v>414</v>
      </c>
      <c r="K67" s="1" t="e">
        <v>#N/A</v>
      </c>
      <c r="L67" s="1" t="s">
        <v>415</v>
      </c>
      <c r="M67">
        <v>3</v>
      </c>
      <c r="N67">
        <v>2</v>
      </c>
      <c r="O67">
        <v>3</v>
      </c>
      <c r="P67">
        <f t="shared" si="13"/>
        <v>1</v>
      </c>
      <c r="Q67">
        <v>2</v>
      </c>
      <c r="R67">
        <f t="shared" si="7"/>
        <v>33</v>
      </c>
      <c r="S67">
        <v>33</v>
      </c>
      <c r="T67">
        <v>0</v>
      </c>
      <c r="V67">
        <f t="shared" si="8"/>
        <v>0</v>
      </c>
      <c r="W67">
        <f t="shared" si="9"/>
        <v>33</v>
      </c>
      <c r="Y67">
        <v>1</v>
      </c>
      <c r="Z67">
        <v>2</v>
      </c>
      <c r="AD67">
        <f t="shared" si="11"/>
        <v>0</v>
      </c>
      <c r="AE67">
        <f t="shared" ref="AE67" si="14">ROUND(SUM(P67*AD67),0)</f>
        <v>0</v>
      </c>
      <c r="AH67">
        <v>0</v>
      </c>
      <c r="AI67">
        <v>0</v>
      </c>
    </row>
    <row r="68" spans="1:35">
      <c r="A68">
        <v>10606</v>
      </c>
      <c r="B68" s="2">
        <v>46022</v>
      </c>
      <c r="C68" s="1">
        <v>6</v>
      </c>
      <c r="D68" s="1" t="s">
        <v>35</v>
      </c>
      <c r="E68" s="1" t="s">
        <v>36</v>
      </c>
      <c r="F68" s="1">
        <v>10607</v>
      </c>
      <c r="G68" s="1" t="s">
        <v>37</v>
      </c>
      <c r="H68" s="1" t="s">
        <v>38</v>
      </c>
      <c r="I68" s="1">
        <v>33</v>
      </c>
      <c r="J68" s="1" t="s">
        <v>279</v>
      </c>
      <c r="K68" s="1" t="e">
        <v>#N/A</v>
      </c>
      <c r="L68" s="1" t="s">
        <v>280</v>
      </c>
      <c r="M68">
        <v>1</v>
      </c>
      <c r="N68">
        <v>1</v>
      </c>
      <c r="O68">
        <v>0</v>
      </c>
      <c r="P68">
        <f t="shared" ref="P68:P106" si="15">SUM(N69:O69)</f>
        <v>1</v>
      </c>
      <c r="Q68">
        <v>1</v>
      </c>
      <c r="R68">
        <f t="shared" ref="R68:R106" si="16">S68/P68</f>
        <v>10</v>
      </c>
      <c r="S68">
        <v>10</v>
      </c>
      <c r="T68">
        <v>0</v>
      </c>
      <c r="V68">
        <f t="shared" ref="V68:V106" si="17">ROUND(SUM(U68*T68)/100,0)</f>
        <v>0</v>
      </c>
      <c r="W68">
        <f t="shared" ref="W68:W106" si="18">ROUND(SUM(S68-V68),0)</f>
        <v>10</v>
      </c>
      <c r="Y68">
        <v>0</v>
      </c>
      <c r="Z68">
        <v>0</v>
      </c>
      <c r="AD68">
        <f t="shared" ref="AD68:AD106" si="19">SUM(V68/100)</f>
        <v>0</v>
      </c>
      <c r="AE68">
        <f t="shared" ref="AE68:AE106" si="20">ROUND(SUM(P68*AD68),0)</f>
        <v>0</v>
      </c>
      <c r="AH68">
        <v>0</v>
      </c>
      <c r="AI68">
        <v>0</v>
      </c>
    </row>
    <row r="69" spans="1:35">
      <c r="A69">
        <v>10061</v>
      </c>
      <c r="B69" s="2">
        <v>46022</v>
      </c>
      <c r="C69" s="1">
        <v>6</v>
      </c>
      <c r="D69" s="1" t="s">
        <v>35</v>
      </c>
      <c r="E69" s="1" t="s">
        <v>36</v>
      </c>
      <c r="F69" s="1">
        <v>10062</v>
      </c>
      <c r="G69" s="1" t="s">
        <v>37</v>
      </c>
      <c r="H69" s="1" t="s">
        <v>38</v>
      </c>
      <c r="I69" s="1">
        <v>33</v>
      </c>
      <c r="J69" s="1" t="s">
        <v>45</v>
      </c>
      <c r="K69" s="1" t="e">
        <v>#N/A</v>
      </c>
      <c r="L69" s="1" t="s">
        <v>46</v>
      </c>
      <c r="M69">
        <v>2</v>
      </c>
      <c r="N69">
        <v>1</v>
      </c>
      <c r="O69">
        <v>0</v>
      </c>
      <c r="P69">
        <f t="shared" si="15"/>
        <v>0</v>
      </c>
      <c r="Q69">
        <v>1</v>
      </c>
      <c r="R69" t="e">
        <f t="shared" si="16"/>
        <v>#DIV/0!</v>
      </c>
      <c r="S69">
        <v>15</v>
      </c>
      <c r="T69">
        <v>0</v>
      </c>
      <c r="V69">
        <f t="shared" si="17"/>
        <v>0</v>
      </c>
      <c r="W69">
        <f t="shared" si="18"/>
        <v>15</v>
      </c>
      <c r="Y69">
        <v>0</v>
      </c>
      <c r="Z69">
        <v>0</v>
      </c>
      <c r="AD69">
        <f t="shared" si="19"/>
        <v>0</v>
      </c>
      <c r="AE69">
        <f t="shared" si="20"/>
        <v>0</v>
      </c>
      <c r="AH69">
        <v>0</v>
      </c>
      <c r="AI69">
        <v>0</v>
      </c>
    </row>
    <row r="70" spans="1:35">
      <c r="A70">
        <v>10027</v>
      </c>
      <c r="B70" s="2">
        <v>46022</v>
      </c>
      <c r="C70" s="1">
        <v>6</v>
      </c>
      <c r="D70" s="1" t="s">
        <v>35</v>
      </c>
      <c r="E70" s="1" t="s">
        <v>36</v>
      </c>
      <c r="F70" s="1">
        <v>10028</v>
      </c>
      <c r="G70" s="1" t="s">
        <v>37</v>
      </c>
      <c r="H70" s="1" t="s">
        <v>38</v>
      </c>
      <c r="I70" s="1">
        <v>33</v>
      </c>
      <c r="J70" s="1" t="s">
        <v>41</v>
      </c>
      <c r="K70" s="1">
        <v>5400</v>
      </c>
      <c r="L70" s="1" t="s">
        <v>42</v>
      </c>
      <c r="P70">
        <f t="shared" si="15"/>
        <v>1</v>
      </c>
      <c r="R70">
        <f t="shared" si="16"/>
        <v>0</v>
      </c>
      <c r="V70">
        <f t="shared" si="17"/>
        <v>0</v>
      </c>
      <c r="W70">
        <f t="shared" si="18"/>
        <v>0</v>
      </c>
      <c r="AD70">
        <f t="shared" si="19"/>
        <v>0</v>
      </c>
      <c r="AE70">
        <f t="shared" si="20"/>
        <v>0</v>
      </c>
    </row>
    <row r="71" spans="1:35">
      <c r="A71">
        <v>10496</v>
      </c>
      <c r="B71" s="2">
        <v>46022</v>
      </c>
      <c r="C71" s="1">
        <v>6</v>
      </c>
      <c r="D71" s="1" t="s">
        <v>35</v>
      </c>
      <c r="E71" s="1" t="s">
        <v>36</v>
      </c>
      <c r="F71" s="1">
        <v>10497</v>
      </c>
      <c r="G71" s="1" t="s">
        <v>37</v>
      </c>
      <c r="H71" s="1" t="s">
        <v>38</v>
      </c>
      <c r="I71" s="1">
        <v>33</v>
      </c>
      <c r="J71" s="1" t="s">
        <v>201</v>
      </c>
      <c r="K71" s="1" t="e">
        <v>#N/A</v>
      </c>
      <c r="L71" s="1" t="s">
        <v>202</v>
      </c>
      <c r="M71">
        <v>6</v>
      </c>
      <c r="N71">
        <v>1</v>
      </c>
      <c r="O71">
        <v>0</v>
      </c>
      <c r="P71">
        <f t="shared" si="15"/>
        <v>0</v>
      </c>
      <c r="Q71">
        <v>2</v>
      </c>
      <c r="R71" t="e">
        <f t="shared" si="16"/>
        <v>#DIV/0!</v>
      </c>
      <c r="S71">
        <v>6</v>
      </c>
      <c r="T71">
        <v>3</v>
      </c>
      <c r="V71">
        <f t="shared" si="17"/>
        <v>0</v>
      </c>
      <c r="W71">
        <f t="shared" si="18"/>
        <v>6</v>
      </c>
      <c r="Y71">
        <v>2</v>
      </c>
      <c r="Z71">
        <v>1</v>
      </c>
      <c r="AD71">
        <f t="shared" si="19"/>
        <v>0</v>
      </c>
      <c r="AE71">
        <f t="shared" si="20"/>
        <v>0</v>
      </c>
      <c r="AH71">
        <v>0</v>
      </c>
      <c r="AI71">
        <v>0</v>
      </c>
    </row>
    <row r="72" spans="1:35">
      <c r="A72">
        <v>10088</v>
      </c>
      <c r="B72" s="2">
        <v>46022</v>
      </c>
      <c r="C72" s="1">
        <v>6</v>
      </c>
      <c r="D72" s="1" t="s">
        <v>35</v>
      </c>
      <c r="E72" s="1" t="s">
        <v>36</v>
      </c>
      <c r="F72" s="1">
        <v>10089</v>
      </c>
      <c r="G72" s="1" t="s">
        <v>37</v>
      </c>
      <c r="H72" s="1" t="s">
        <v>38</v>
      </c>
      <c r="I72" s="1">
        <v>33</v>
      </c>
      <c r="J72" s="1" t="s">
        <v>50</v>
      </c>
      <c r="K72" s="1" t="e">
        <v>#N/A</v>
      </c>
      <c r="L72" s="1" t="s">
        <v>51</v>
      </c>
      <c r="P72">
        <f t="shared" si="15"/>
        <v>12</v>
      </c>
      <c r="R72">
        <f t="shared" si="16"/>
        <v>0</v>
      </c>
      <c r="V72">
        <f t="shared" si="17"/>
        <v>0</v>
      </c>
      <c r="W72">
        <f t="shared" si="18"/>
        <v>0</v>
      </c>
      <c r="AD72">
        <f t="shared" si="19"/>
        <v>0</v>
      </c>
      <c r="AE72">
        <f t="shared" si="20"/>
        <v>0</v>
      </c>
    </row>
    <row r="73" spans="1:35">
      <c r="A73">
        <v>10577</v>
      </c>
      <c r="B73" s="2">
        <v>46022</v>
      </c>
      <c r="C73" s="1">
        <v>6</v>
      </c>
      <c r="D73" s="1" t="s">
        <v>35</v>
      </c>
      <c r="E73" s="1" t="s">
        <v>36</v>
      </c>
      <c r="F73" s="1">
        <v>10578</v>
      </c>
      <c r="G73" s="1" t="s">
        <v>37</v>
      </c>
      <c r="H73" s="1" t="s">
        <v>38</v>
      </c>
      <c r="I73" s="1">
        <v>33</v>
      </c>
      <c r="J73" s="1" t="s">
        <v>261</v>
      </c>
      <c r="K73" s="1" t="e">
        <v>#N/A</v>
      </c>
      <c r="L73" s="1" t="s">
        <v>262</v>
      </c>
      <c r="M73">
        <v>13</v>
      </c>
      <c r="N73">
        <v>7</v>
      </c>
      <c r="O73">
        <v>5</v>
      </c>
      <c r="P73">
        <f t="shared" si="15"/>
        <v>10</v>
      </c>
      <c r="Q73">
        <v>4</v>
      </c>
      <c r="R73">
        <f t="shared" si="16"/>
        <v>7.7</v>
      </c>
      <c r="S73">
        <v>77</v>
      </c>
      <c r="T73">
        <v>33</v>
      </c>
      <c r="V73">
        <f t="shared" si="17"/>
        <v>0</v>
      </c>
      <c r="W73">
        <f t="shared" si="18"/>
        <v>77</v>
      </c>
      <c r="Y73">
        <v>12</v>
      </c>
      <c r="Z73">
        <v>5</v>
      </c>
      <c r="AD73">
        <f t="shared" si="19"/>
        <v>0</v>
      </c>
      <c r="AE73">
        <f t="shared" si="20"/>
        <v>0</v>
      </c>
      <c r="AH73">
        <v>0</v>
      </c>
      <c r="AI73">
        <v>0</v>
      </c>
    </row>
    <row r="74" spans="1:35">
      <c r="A74">
        <v>10568</v>
      </c>
      <c r="B74" s="2">
        <v>46022</v>
      </c>
      <c r="C74" s="1">
        <v>6</v>
      </c>
      <c r="D74" s="1" t="s">
        <v>35</v>
      </c>
      <c r="E74" s="1" t="s">
        <v>36</v>
      </c>
      <c r="F74" s="1">
        <v>10569</v>
      </c>
      <c r="G74" s="1" t="s">
        <v>37</v>
      </c>
      <c r="H74" s="1" t="s">
        <v>38</v>
      </c>
      <c r="I74" s="1">
        <v>33</v>
      </c>
      <c r="J74" s="1" t="s">
        <v>247</v>
      </c>
      <c r="K74" s="1" t="e">
        <v>#N/A</v>
      </c>
      <c r="L74" s="1" t="s">
        <v>248</v>
      </c>
      <c r="M74">
        <v>9</v>
      </c>
      <c r="N74">
        <v>6</v>
      </c>
      <c r="O74">
        <v>4</v>
      </c>
      <c r="P74">
        <f t="shared" si="15"/>
        <v>13</v>
      </c>
      <c r="Q74">
        <v>5</v>
      </c>
      <c r="R74">
        <f t="shared" si="16"/>
        <v>5.2307692307692308</v>
      </c>
      <c r="S74">
        <v>68</v>
      </c>
      <c r="T74">
        <v>30</v>
      </c>
      <c r="V74">
        <f t="shared" si="17"/>
        <v>0</v>
      </c>
      <c r="W74">
        <f t="shared" si="18"/>
        <v>68</v>
      </c>
      <c r="Y74">
        <v>8</v>
      </c>
      <c r="Z74">
        <v>5</v>
      </c>
      <c r="AD74">
        <f t="shared" si="19"/>
        <v>0</v>
      </c>
      <c r="AE74">
        <f t="shared" si="20"/>
        <v>0</v>
      </c>
      <c r="AH74">
        <v>0</v>
      </c>
      <c r="AI74">
        <v>0</v>
      </c>
    </row>
    <row r="75" spans="1:35">
      <c r="A75">
        <v>10561</v>
      </c>
      <c r="B75" s="2">
        <v>46022</v>
      </c>
      <c r="C75" s="1">
        <v>6</v>
      </c>
      <c r="D75" s="1" t="s">
        <v>35</v>
      </c>
      <c r="E75" s="1" t="s">
        <v>36</v>
      </c>
      <c r="F75" s="1">
        <v>10562</v>
      </c>
      <c r="G75" s="1" t="s">
        <v>37</v>
      </c>
      <c r="H75" s="1" t="s">
        <v>38</v>
      </c>
      <c r="I75" s="1">
        <v>33</v>
      </c>
      <c r="J75" s="1" t="s">
        <v>237</v>
      </c>
      <c r="K75" s="1" t="e">
        <v>#N/A</v>
      </c>
      <c r="L75" s="1" t="s">
        <v>238</v>
      </c>
      <c r="M75">
        <v>14</v>
      </c>
      <c r="N75">
        <v>8</v>
      </c>
      <c r="O75">
        <v>5</v>
      </c>
      <c r="P75">
        <f t="shared" si="15"/>
        <v>19</v>
      </c>
      <c r="Q75">
        <v>4</v>
      </c>
      <c r="R75">
        <f t="shared" si="16"/>
        <v>4.2105263157894735</v>
      </c>
      <c r="S75">
        <v>80</v>
      </c>
      <c r="T75">
        <v>26</v>
      </c>
      <c r="V75">
        <f t="shared" si="17"/>
        <v>0</v>
      </c>
      <c r="W75">
        <f t="shared" si="18"/>
        <v>80</v>
      </c>
      <c r="Y75">
        <v>12</v>
      </c>
      <c r="Z75">
        <v>6</v>
      </c>
      <c r="AD75">
        <f t="shared" si="19"/>
        <v>0</v>
      </c>
      <c r="AE75">
        <f t="shared" si="20"/>
        <v>0</v>
      </c>
      <c r="AH75">
        <v>0</v>
      </c>
      <c r="AI75">
        <v>0</v>
      </c>
    </row>
    <row r="76" spans="1:35">
      <c r="A76">
        <v>10043</v>
      </c>
      <c r="B76" s="2">
        <v>46022</v>
      </c>
      <c r="C76" s="1">
        <v>6</v>
      </c>
      <c r="D76" s="1" t="s">
        <v>35</v>
      </c>
      <c r="E76" s="1" t="s">
        <v>36</v>
      </c>
      <c r="F76" s="1">
        <v>10044</v>
      </c>
      <c r="G76" s="1" t="s">
        <v>37</v>
      </c>
      <c r="H76" s="1" t="s">
        <v>38</v>
      </c>
      <c r="I76" s="1">
        <v>33</v>
      </c>
      <c r="J76" s="1" t="s">
        <v>43</v>
      </c>
      <c r="K76" s="1" t="e">
        <v>#N/A</v>
      </c>
      <c r="L76" s="1" t="s">
        <v>44</v>
      </c>
      <c r="M76">
        <v>19</v>
      </c>
      <c r="N76">
        <v>15</v>
      </c>
      <c r="O76">
        <v>4</v>
      </c>
      <c r="P76">
        <f t="shared" si="15"/>
        <v>2</v>
      </c>
      <c r="Q76">
        <v>1</v>
      </c>
      <c r="R76">
        <f t="shared" si="16"/>
        <v>93.5</v>
      </c>
      <c r="S76">
        <v>187</v>
      </c>
      <c r="T76">
        <v>35</v>
      </c>
      <c r="V76">
        <f t="shared" si="17"/>
        <v>0</v>
      </c>
      <c r="W76">
        <f t="shared" si="18"/>
        <v>187</v>
      </c>
      <c r="Y76">
        <v>4</v>
      </c>
      <c r="Z76">
        <v>4</v>
      </c>
      <c r="AD76">
        <f t="shared" si="19"/>
        <v>0</v>
      </c>
      <c r="AE76">
        <f t="shared" si="20"/>
        <v>0</v>
      </c>
      <c r="AH76">
        <v>0</v>
      </c>
      <c r="AI76">
        <v>0</v>
      </c>
    </row>
    <row r="77" spans="1:35">
      <c r="A77">
        <v>10693</v>
      </c>
      <c r="B77" s="2">
        <v>46022</v>
      </c>
      <c r="C77" s="1">
        <v>6</v>
      </c>
      <c r="D77" s="1" t="s">
        <v>35</v>
      </c>
      <c r="E77" s="1" t="s">
        <v>36</v>
      </c>
      <c r="F77" s="1">
        <v>10694</v>
      </c>
      <c r="G77" s="1" t="s">
        <v>37</v>
      </c>
      <c r="H77" s="1" t="s">
        <v>38</v>
      </c>
      <c r="I77" s="1">
        <v>33</v>
      </c>
      <c r="J77" s="1" t="s">
        <v>330</v>
      </c>
      <c r="K77" s="1" t="e">
        <v>#N/A</v>
      </c>
      <c r="L77" s="1" t="s">
        <v>331</v>
      </c>
      <c r="M77">
        <v>2</v>
      </c>
      <c r="N77">
        <v>1</v>
      </c>
      <c r="O77">
        <v>1</v>
      </c>
      <c r="P77">
        <f t="shared" si="15"/>
        <v>3</v>
      </c>
      <c r="Q77">
        <v>9</v>
      </c>
      <c r="R77">
        <f t="shared" si="16"/>
        <v>42.333333333333336</v>
      </c>
      <c r="S77">
        <v>127</v>
      </c>
      <c r="T77">
        <v>83</v>
      </c>
      <c r="V77">
        <f t="shared" si="17"/>
        <v>0</v>
      </c>
      <c r="W77">
        <f t="shared" si="18"/>
        <v>127</v>
      </c>
      <c r="Y77">
        <v>11</v>
      </c>
      <c r="Z77">
        <v>1</v>
      </c>
      <c r="AD77">
        <f t="shared" si="19"/>
        <v>0</v>
      </c>
      <c r="AE77">
        <f t="shared" si="20"/>
        <v>0</v>
      </c>
      <c r="AH77">
        <v>0</v>
      </c>
      <c r="AI77">
        <v>0</v>
      </c>
    </row>
    <row r="78" spans="1:35">
      <c r="A78">
        <v>10688</v>
      </c>
      <c r="B78" s="2">
        <v>46022</v>
      </c>
      <c r="C78" s="1">
        <v>6</v>
      </c>
      <c r="D78" s="1" t="s">
        <v>35</v>
      </c>
      <c r="E78" s="1" t="s">
        <v>36</v>
      </c>
      <c r="F78" s="1">
        <v>10689</v>
      </c>
      <c r="G78" s="1" t="s">
        <v>37</v>
      </c>
      <c r="H78" s="1" t="s">
        <v>38</v>
      </c>
      <c r="I78" s="1">
        <v>33</v>
      </c>
      <c r="J78" s="1" t="s">
        <v>326</v>
      </c>
      <c r="K78" s="1" t="e">
        <v>#N/A</v>
      </c>
      <c r="L78" s="1" t="s">
        <v>327</v>
      </c>
      <c r="M78">
        <v>3</v>
      </c>
      <c r="N78">
        <v>1</v>
      </c>
      <c r="O78">
        <v>2</v>
      </c>
      <c r="P78">
        <f t="shared" si="15"/>
        <v>3</v>
      </c>
      <c r="Q78">
        <v>9</v>
      </c>
      <c r="R78">
        <f t="shared" si="16"/>
        <v>65</v>
      </c>
      <c r="S78">
        <v>195</v>
      </c>
      <c r="T78">
        <v>101</v>
      </c>
      <c r="V78">
        <f t="shared" si="17"/>
        <v>0</v>
      </c>
      <c r="W78">
        <f t="shared" si="18"/>
        <v>195</v>
      </c>
      <c r="Y78">
        <v>18</v>
      </c>
      <c r="Z78">
        <v>1</v>
      </c>
      <c r="AD78">
        <f t="shared" si="19"/>
        <v>0</v>
      </c>
      <c r="AE78">
        <f t="shared" si="20"/>
        <v>0</v>
      </c>
      <c r="AH78">
        <v>0</v>
      </c>
      <c r="AI78">
        <v>0</v>
      </c>
    </row>
    <row r="79" spans="1:35">
      <c r="A79">
        <v>10686</v>
      </c>
      <c r="B79" s="2">
        <v>46022</v>
      </c>
      <c r="C79" s="1">
        <v>6</v>
      </c>
      <c r="D79" s="1" t="s">
        <v>35</v>
      </c>
      <c r="E79" s="1" t="s">
        <v>36</v>
      </c>
      <c r="F79" s="1">
        <v>10687</v>
      </c>
      <c r="G79" s="1" t="s">
        <v>37</v>
      </c>
      <c r="H79" s="1" t="s">
        <v>38</v>
      </c>
      <c r="I79" s="1">
        <v>33</v>
      </c>
      <c r="J79" s="1" t="s">
        <v>324</v>
      </c>
      <c r="K79" s="1" t="e">
        <v>#N/A</v>
      </c>
      <c r="L79" s="1" t="s">
        <v>325</v>
      </c>
      <c r="M79">
        <v>3</v>
      </c>
      <c r="N79">
        <v>1</v>
      </c>
      <c r="O79">
        <v>2</v>
      </c>
      <c r="P79">
        <f t="shared" si="15"/>
        <v>0</v>
      </c>
      <c r="Q79">
        <v>10</v>
      </c>
      <c r="R79" t="e">
        <f t="shared" si="16"/>
        <v>#DIV/0!</v>
      </c>
      <c r="S79">
        <v>173</v>
      </c>
      <c r="T79">
        <v>79</v>
      </c>
      <c r="V79">
        <f t="shared" si="17"/>
        <v>0</v>
      </c>
      <c r="W79">
        <f t="shared" si="18"/>
        <v>173</v>
      </c>
      <c r="Y79">
        <v>13</v>
      </c>
      <c r="Z79">
        <v>1</v>
      </c>
      <c r="AD79">
        <f t="shared" si="19"/>
        <v>0</v>
      </c>
      <c r="AE79">
        <f t="shared" si="20"/>
        <v>0</v>
      </c>
      <c r="AH79">
        <v>0</v>
      </c>
      <c r="AI79">
        <v>0</v>
      </c>
    </row>
    <row r="80" spans="1:35">
      <c r="A80">
        <v>10667</v>
      </c>
      <c r="B80" s="2">
        <v>46022</v>
      </c>
      <c r="C80" s="1">
        <v>6</v>
      </c>
      <c r="D80" s="1" t="s">
        <v>35</v>
      </c>
      <c r="E80" s="1" t="s">
        <v>36</v>
      </c>
      <c r="F80" s="1">
        <v>10668</v>
      </c>
      <c r="G80" s="1" t="s">
        <v>37</v>
      </c>
      <c r="H80" s="1" t="s">
        <v>38</v>
      </c>
      <c r="I80" s="1">
        <v>33</v>
      </c>
      <c r="J80" s="1" t="s">
        <v>316</v>
      </c>
      <c r="K80" s="1" t="e">
        <v>#N/A</v>
      </c>
      <c r="L80" s="1" t="s">
        <v>317</v>
      </c>
      <c r="P80">
        <f t="shared" si="15"/>
        <v>60</v>
      </c>
      <c r="R80">
        <f t="shared" si="16"/>
        <v>0</v>
      </c>
      <c r="V80">
        <f t="shared" si="17"/>
        <v>0</v>
      </c>
      <c r="W80">
        <f t="shared" si="18"/>
        <v>0</v>
      </c>
      <c r="AD80">
        <f t="shared" si="19"/>
        <v>0</v>
      </c>
      <c r="AE80">
        <f t="shared" si="20"/>
        <v>0</v>
      </c>
    </row>
    <row r="81" spans="1:35">
      <c r="A81">
        <v>10689</v>
      </c>
      <c r="B81" s="2">
        <v>46022</v>
      </c>
      <c r="C81" s="1">
        <v>6</v>
      </c>
      <c r="D81" s="1" t="s">
        <v>35</v>
      </c>
      <c r="E81" s="1" t="s">
        <v>36</v>
      </c>
      <c r="F81" s="1">
        <v>10690</v>
      </c>
      <c r="G81" s="1" t="s">
        <v>37</v>
      </c>
      <c r="H81" s="1" t="s">
        <v>38</v>
      </c>
      <c r="I81" s="1">
        <v>33</v>
      </c>
      <c r="J81" s="1" t="s">
        <v>328</v>
      </c>
      <c r="K81" s="1" t="e">
        <v>#N/A</v>
      </c>
      <c r="L81" s="1" t="s">
        <v>329</v>
      </c>
      <c r="M81">
        <v>60</v>
      </c>
      <c r="N81">
        <v>55</v>
      </c>
      <c r="O81">
        <v>5</v>
      </c>
      <c r="P81">
        <f t="shared" si="15"/>
        <v>40</v>
      </c>
      <c r="Q81">
        <v>3</v>
      </c>
      <c r="R81">
        <f t="shared" si="16"/>
        <v>45</v>
      </c>
      <c r="S81">
        <v>1800</v>
      </c>
      <c r="T81">
        <v>540</v>
      </c>
      <c r="V81">
        <f t="shared" si="17"/>
        <v>0</v>
      </c>
      <c r="W81">
        <f t="shared" si="18"/>
        <v>1800</v>
      </c>
      <c r="Y81">
        <v>8</v>
      </c>
      <c r="Z81">
        <v>5</v>
      </c>
      <c r="AD81">
        <f t="shared" si="19"/>
        <v>0</v>
      </c>
      <c r="AE81">
        <f t="shared" si="20"/>
        <v>0</v>
      </c>
      <c r="AH81">
        <v>0</v>
      </c>
      <c r="AI81">
        <v>0</v>
      </c>
    </row>
    <row r="82" spans="1:35">
      <c r="A82">
        <v>10694</v>
      </c>
      <c r="B82" s="2">
        <v>46022</v>
      </c>
      <c r="C82" s="1">
        <v>6</v>
      </c>
      <c r="D82" s="1" t="s">
        <v>35</v>
      </c>
      <c r="E82" s="1" t="s">
        <v>36</v>
      </c>
      <c r="F82" s="1">
        <v>10695</v>
      </c>
      <c r="G82" s="1" t="s">
        <v>37</v>
      </c>
      <c r="H82" s="1" t="s">
        <v>38</v>
      </c>
      <c r="I82" s="1">
        <v>33</v>
      </c>
      <c r="J82" s="1" t="s">
        <v>332</v>
      </c>
      <c r="K82" s="1" t="e">
        <v>#N/A</v>
      </c>
      <c r="L82" s="1" t="s">
        <v>333</v>
      </c>
      <c r="M82">
        <v>45</v>
      </c>
      <c r="N82">
        <v>30</v>
      </c>
      <c r="O82">
        <v>10</v>
      </c>
      <c r="P82">
        <f t="shared" si="15"/>
        <v>15</v>
      </c>
      <c r="Q82">
        <v>2</v>
      </c>
      <c r="R82">
        <f t="shared" si="16"/>
        <v>106.66666666666667</v>
      </c>
      <c r="S82">
        <v>1600</v>
      </c>
      <c r="T82">
        <v>445</v>
      </c>
      <c r="V82">
        <f t="shared" si="17"/>
        <v>0</v>
      </c>
      <c r="W82">
        <f t="shared" si="18"/>
        <v>1600</v>
      </c>
      <c r="Y82">
        <v>10</v>
      </c>
      <c r="Z82">
        <v>8</v>
      </c>
      <c r="AD82">
        <f t="shared" si="19"/>
        <v>0</v>
      </c>
      <c r="AE82">
        <f t="shared" si="20"/>
        <v>0</v>
      </c>
      <c r="AH82">
        <v>0</v>
      </c>
      <c r="AI82">
        <v>0</v>
      </c>
    </row>
    <row r="83" spans="1:35">
      <c r="A83">
        <v>10151</v>
      </c>
      <c r="B83" s="2">
        <v>46022</v>
      </c>
      <c r="C83" s="1">
        <v>6</v>
      </c>
      <c r="D83" s="1" t="s">
        <v>35</v>
      </c>
      <c r="E83" s="1" t="s">
        <v>36</v>
      </c>
      <c r="F83" s="1">
        <v>10152</v>
      </c>
      <c r="G83" s="1" t="s">
        <v>37</v>
      </c>
      <c r="H83" s="1" t="s">
        <v>38</v>
      </c>
      <c r="I83" s="1">
        <v>33</v>
      </c>
      <c r="J83" s="1" t="s">
        <v>66</v>
      </c>
      <c r="K83" s="1" t="e">
        <v>#N/A</v>
      </c>
      <c r="L83" s="1" t="s">
        <v>67</v>
      </c>
      <c r="M83">
        <v>15</v>
      </c>
      <c r="N83">
        <v>10</v>
      </c>
      <c r="O83">
        <v>5</v>
      </c>
      <c r="P83">
        <f t="shared" si="15"/>
        <v>8</v>
      </c>
      <c r="Q83">
        <v>2</v>
      </c>
      <c r="R83">
        <f t="shared" si="16"/>
        <v>62.5</v>
      </c>
      <c r="S83">
        <v>500</v>
      </c>
      <c r="T83">
        <v>155</v>
      </c>
      <c r="V83">
        <f t="shared" si="17"/>
        <v>0</v>
      </c>
      <c r="W83">
        <f t="shared" si="18"/>
        <v>500</v>
      </c>
      <c r="Y83">
        <v>35</v>
      </c>
      <c r="Z83">
        <v>12</v>
      </c>
      <c r="AD83">
        <f t="shared" si="19"/>
        <v>0</v>
      </c>
      <c r="AE83">
        <f t="shared" si="20"/>
        <v>0</v>
      </c>
      <c r="AH83">
        <v>0</v>
      </c>
      <c r="AI83">
        <v>0</v>
      </c>
    </row>
    <row r="84" spans="1:35">
      <c r="A84">
        <v>10569</v>
      </c>
      <c r="B84" s="2">
        <v>46022</v>
      </c>
      <c r="C84" s="1">
        <v>6</v>
      </c>
      <c r="D84" s="1" t="s">
        <v>35</v>
      </c>
      <c r="E84" s="1" t="s">
        <v>36</v>
      </c>
      <c r="F84" s="1">
        <v>10570</v>
      </c>
      <c r="G84" s="1" t="s">
        <v>37</v>
      </c>
      <c r="H84" s="1" t="s">
        <v>38</v>
      </c>
      <c r="I84" s="1">
        <v>33</v>
      </c>
      <c r="J84" s="1" t="s">
        <v>249</v>
      </c>
      <c r="K84" s="1" t="e">
        <v>#N/A</v>
      </c>
      <c r="L84" s="1" t="s">
        <v>250</v>
      </c>
      <c r="M84">
        <v>8</v>
      </c>
      <c r="N84">
        <v>6</v>
      </c>
      <c r="O84">
        <v>2</v>
      </c>
      <c r="P84">
        <f t="shared" si="15"/>
        <v>22</v>
      </c>
      <c r="Q84">
        <v>2</v>
      </c>
      <c r="R84">
        <f t="shared" si="16"/>
        <v>4.0909090909090908</v>
      </c>
      <c r="S84">
        <v>90</v>
      </c>
      <c r="T84">
        <v>32</v>
      </c>
      <c r="V84">
        <f t="shared" si="17"/>
        <v>0</v>
      </c>
      <c r="W84">
        <f t="shared" si="18"/>
        <v>90</v>
      </c>
      <c r="Y84">
        <v>5</v>
      </c>
      <c r="Z84">
        <v>4</v>
      </c>
      <c r="AD84">
        <f t="shared" si="19"/>
        <v>0</v>
      </c>
      <c r="AE84">
        <f t="shared" si="20"/>
        <v>0</v>
      </c>
      <c r="AH84">
        <v>0</v>
      </c>
      <c r="AI84">
        <v>0</v>
      </c>
    </row>
    <row r="85" spans="1:35">
      <c r="A85">
        <v>10551</v>
      </c>
      <c r="B85" s="2">
        <v>46022</v>
      </c>
      <c r="C85" s="1">
        <v>6</v>
      </c>
      <c r="D85" s="1" t="s">
        <v>35</v>
      </c>
      <c r="E85" s="1" t="s">
        <v>36</v>
      </c>
      <c r="F85" s="1">
        <v>10552</v>
      </c>
      <c r="G85" s="1" t="s">
        <v>37</v>
      </c>
      <c r="H85" s="1" t="s">
        <v>38</v>
      </c>
      <c r="I85" s="1">
        <v>33</v>
      </c>
      <c r="J85" s="1" t="s">
        <v>227</v>
      </c>
      <c r="K85" s="1" t="e">
        <v>#N/A</v>
      </c>
      <c r="L85" s="1" t="s">
        <v>228</v>
      </c>
      <c r="M85">
        <v>40</v>
      </c>
      <c r="N85">
        <v>16</v>
      </c>
      <c r="O85">
        <v>6</v>
      </c>
      <c r="P85">
        <f t="shared" si="15"/>
        <v>0</v>
      </c>
      <c r="Q85">
        <v>3</v>
      </c>
      <c r="R85" t="e">
        <f t="shared" si="16"/>
        <v>#DIV/0!</v>
      </c>
      <c r="S85">
        <v>420</v>
      </c>
      <c r="T85">
        <v>105</v>
      </c>
      <c r="V85">
        <f t="shared" si="17"/>
        <v>0</v>
      </c>
      <c r="W85">
        <f t="shared" si="18"/>
        <v>420</v>
      </c>
      <c r="Y85">
        <v>9</v>
      </c>
      <c r="Z85">
        <v>5</v>
      </c>
      <c r="AD85">
        <f t="shared" si="19"/>
        <v>0</v>
      </c>
      <c r="AE85">
        <f t="shared" si="20"/>
        <v>0</v>
      </c>
      <c r="AH85">
        <v>0</v>
      </c>
      <c r="AI85">
        <v>0</v>
      </c>
    </row>
    <row r="86" spans="1:35">
      <c r="A86">
        <v>10562</v>
      </c>
      <c r="B86" s="2">
        <v>46022</v>
      </c>
      <c r="C86" s="1">
        <v>6</v>
      </c>
      <c r="D86" s="1" t="s">
        <v>35</v>
      </c>
      <c r="E86" s="1" t="s">
        <v>36</v>
      </c>
      <c r="F86" s="1">
        <v>10563</v>
      </c>
      <c r="G86" s="1" t="s">
        <v>37</v>
      </c>
      <c r="H86" s="1" t="s">
        <v>38</v>
      </c>
      <c r="I86" s="1">
        <v>33</v>
      </c>
      <c r="J86" s="1" t="s">
        <v>239</v>
      </c>
      <c r="K86" s="1" t="e">
        <v>#N/A</v>
      </c>
      <c r="L86" s="1" t="s">
        <v>240</v>
      </c>
      <c r="P86">
        <f t="shared" si="15"/>
        <v>9</v>
      </c>
      <c r="R86">
        <f t="shared" si="16"/>
        <v>0</v>
      </c>
      <c r="V86">
        <f t="shared" si="17"/>
        <v>0</v>
      </c>
      <c r="W86">
        <f t="shared" si="18"/>
        <v>0</v>
      </c>
      <c r="AD86">
        <f t="shared" si="19"/>
        <v>0</v>
      </c>
      <c r="AE86">
        <f t="shared" si="20"/>
        <v>0</v>
      </c>
    </row>
    <row r="87" spans="1:35">
      <c r="A87">
        <v>10604</v>
      </c>
      <c r="B87" s="2">
        <v>46022</v>
      </c>
      <c r="C87" s="1">
        <v>6</v>
      </c>
      <c r="D87" s="1" t="s">
        <v>35</v>
      </c>
      <c r="E87" s="1" t="s">
        <v>36</v>
      </c>
      <c r="F87" s="1">
        <v>10605</v>
      </c>
      <c r="G87" s="1" t="s">
        <v>37</v>
      </c>
      <c r="H87" s="1" t="s">
        <v>38</v>
      </c>
      <c r="I87" s="1">
        <v>33</v>
      </c>
      <c r="J87" s="1" t="s">
        <v>275</v>
      </c>
      <c r="K87" s="1" t="e">
        <v>#N/A</v>
      </c>
      <c r="L87" s="1" t="s">
        <v>276</v>
      </c>
      <c r="M87">
        <v>9</v>
      </c>
      <c r="N87">
        <v>6</v>
      </c>
      <c r="O87">
        <v>3</v>
      </c>
      <c r="P87">
        <f t="shared" si="15"/>
        <v>0</v>
      </c>
      <c r="Q87">
        <v>2</v>
      </c>
      <c r="R87" t="e">
        <f t="shared" si="16"/>
        <v>#DIV/0!</v>
      </c>
      <c r="S87">
        <v>190</v>
      </c>
      <c r="T87">
        <v>68</v>
      </c>
      <c r="V87">
        <f t="shared" si="17"/>
        <v>0</v>
      </c>
      <c r="W87">
        <f t="shared" si="18"/>
        <v>190</v>
      </c>
      <c r="Y87">
        <v>4</v>
      </c>
      <c r="Z87">
        <v>3</v>
      </c>
      <c r="AD87">
        <f t="shared" si="19"/>
        <v>0</v>
      </c>
      <c r="AE87">
        <f t="shared" si="20"/>
        <v>0</v>
      </c>
      <c r="AH87">
        <v>0</v>
      </c>
      <c r="AI87">
        <v>0</v>
      </c>
    </row>
    <row r="88" spans="1:35">
      <c r="A88">
        <v>10186</v>
      </c>
      <c r="B88" s="2">
        <v>46022</v>
      </c>
      <c r="C88" s="1">
        <v>6</v>
      </c>
      <c r="D88" s="1" t="s">
        <v>35</v>
      </c>
      <c r="E88" s="1" t="s">
        <v>36</v>
      </c>
      <c r="F88" s="1">
        <v>10187</v>
      </c>
      <c r="G88" s="1" t="s">
        <v>37</v>
      </c>
      <c r="H88" s="1" t="s">
        <v>38</v>
      </c>
      <c r="I88" s="1">
        <v>33</v>
      </c>
      <c r="J88" s="1" t="s">
        <v>70</v>
      </c>
      <c r="K88" s="1" t="e">
        <v>#N/A</v>
      </c>
      <c r="L88" s="1" t="s">
        <v>71</v>
      </c>
      <c r="P88">
        <f t="shared" si="15"/>
        <v>0</v>
      </c>
      <c r="R88" t="e">
        <f t="shared" si="16"/>
        <v>#DIV/0!</v>
      </c>
      <c r="V88">
        <f t="shared" si="17"/>
        <v>0</v>
      </c>
      <c r="W88">
        <f t="shared" si="18"/>
        <v>0</v>
      </c>
      <c r="AD88">
        <f t="shared" si="19"/>
        <v>0</v>
      </c>
      <c r="AE88">
        <f t="shared" si="20"/>
        <v>0</v>
      </c>
    </row>
    <row r="89" spans="1:35">
      <c r="A89">
        <v>10122</v>
      </c>
      <c r="B89" s="2">
        <v>46022</v>
      </c>
      <c r="C89" s="1">
        <v>6</v>
      </c>
      <c r="D89" s="1" t="s">
        <v>35</v>
      </c>
      <c r="E89" s="1" t="s">
        <v>36</v>
      </c>
      <c r="F89" s="1">
        <v>10123</v>
      </c>
      <c r="G89" s="1" t="s">
        <v>37</v>
      </c>
      <c r="H89" s="1" t="s">
        <v>38</v>
      </c>
      <c r="I89" s="1">
        <v>33</v>
      </c>
      <c r="J89" s="1" t="s">
        <v>61</v>
      </c>
      <c r="K89" s="1" t="e">
        <v>#N/A</v>
      </c>
      <c r="L89" s="1" t="s">
        <v>62</v>
      </c>
      <c r="P89">
        <f t="shared" si="15"/>
        <v>10</v>
      </c>
      <c r="R89">
        <f t="shared" si="16"/>
        <v>0</v>
      </c>
      <c r="V89">
        <f t="shared" si="17"/>
        <v>0</v>
      </c>
      <c r="W89">
        <f t="shared" si="18"/>
        <v>0</v>
      </c>
      <c r="AD89">
        <f t="shared" si="19"/>
        <v>0</v>
      </c>
      <c r="AE89">
        <f t="shared" si="20"/>
        <v>0</v>
      </c>
    </row>
    <row r="90" spans="1:35">
      <c r="A90">
        <v>10089</v>
      </c>
      <c r="B90" s="2">
        <v>46022</v>
      </c>
      <c r="C90" s="1">
        <v>6</v>
      </c>
      <c r="D90" s="1" t="s">
        <v>35</v>
      </c>
      <c r="E90" s="1" t="s">
        <v>36</v>
      </c>
      <c r="F90" s="1">
        <v>10090</v>
      </c>
      <c r="G90" s="1" t="s">
        <v>37</v>
      </c>
      <c r="H90" s="1" t="s">
        <v>38</v>
      </c>
      <c r="I90" s="1">
        <v>33</v>
      </c>
      <c r="J90" s="1" t="s">
        <v>52</v>
      </c>
      <c r="K90" s="1">
        <v>11875</v>
      </c>
      <c r="L90" s="1" t="s">
        <v>53</v>
      </c>
      <c r="M90">
        <v>8</v>
      </c>
      <c r="N90">
        <v>8</v>
      </c>
      <c r="O90">
        <v>2</v>
      </c>
      <c r="P90">
        <f t="shared" si="15"/>
        <v>1</v>
      </c>
      <c r="Q90">
        <v>1</v>
      </c>
      <c r="R90">
        <f t="shared" si="16"/>
        <v>87</v>
      </c>
      <c r="S90">
        <v>87</v>
      </c>
      <c r="T90">
        <v>19</v>
      </c>
      <c r="V90">
        <f t="shared" si="17"/>
        <v>0</v>
      </c>
      <c r="W90">
        <f t="shared" si="18"/>
        <v>87</v>
      </c>
      <c r="Y90">
        <v>2</v>
      </c>
      <c r="Z90">
        <v>1</v>
      </c>
      <c r="AD90">
        <f t="shared" si="19"/>
        <v>0</v>
      </c>
      <c r="AE90">
        <f t="shared" si="20"/>
        <v>0</v>
      </c>
      <c r="AH90">
        <v>0</v>
      </c>
      <c r="AI90">
        <v>0</v>
      </c>
    </row>
    <row r="91" spans="1:35">
      <c r="A91">
        <v>10678</v>
      </c>
      <c r="B91" s="2">
        <v>46022</v>
      </c>
      <c r="C91" s="1">
        <v>6</v>
      </c>
      <c r="D91" s="1" t="s">
        <v>35</v>
      </c>
      <c r="E91" s="1" t="s">
        <v>36</v>
      </c>
      <c r="F91" s="1">
        <v>10679</v>
      </c>
      <c r="G91" s="1" t="s">
        <v>37</v>
      </c>
      <c r="H91" s="1" t="s">
        <v>38</v>
      </c>
      <c r="I91" s="1">
        <v>33</v>
      </c>
      <c r="J91" s="1" t="s">
        <v>322</v>
      </c>
      <c r="K91" s="1" t="e">
        <v>#N/A</v>
      </c>
      <c r="L91" s="1" t="s">
        <v>323</v>
      </c>
      <c r="M91">
        <v>1</v>
      </c>
      <c r="N91">
        <v>1</v>
      </c>
      <c r="O91">
        <v>0</v>
      </c>
      <c r="P91">
        <f t="shared" si="15"/>
        <v>0</v>
      </c>
      <c r="Q91">
        <v>3</v>
      </c>
      <c r="R91" t="e">
        <f t="shared" si="16"/>
        <v>#DIV/0!</v>
      </c>
      <c r="S91">
        <v>1</v>
      </c>
      <c r="T91">
        <v>0</v>
      </c>
      <c r="V91">
        <f t="shared" si="17"/>
        <v>0</v>
      </c>
      <c r="W91">
        <f t="shared" si="18"/>
        <v>1</v>
      </c>
      <c r="Y91">
        <v>0</v>
      </c>
      <c r="Z91">
        <v>0</v>
      </c>
      <c r="AD91">
        <f t="shared" si="19"/>
        <v>0</v>
      </c>
      <c r="AE91">
        <f t="shared" si="20"/>
        <v>0</v>
      </c>
      <c r="AH91">
        <v>0</v>
      </c>
      <c r="AI91">
        <v>0</v>
      </c>
    </row>
    <row r="92" spans="1:35">
      <c r="A92">
        <v>10009</v>
      </c>
      <c r="B92" s="2">
        <v>46022</v>
      </c>
      <c r="C92" s="1">
        <v>6</v>
      </c>
      <c r="D92" s="1" t="s">
        <v>35</v>
      </c>
      <c r="E92" s="1" t="s">
        <v>36</v>
      </c>
      <c r="F92" s="1">
        <v>10010</v>
      </c>
      <c r="G92" s="1" t="s">
        <v>37</v>
      </c>
      <c r="H92" s="1" t="s">
        <v>38</v>
      </c>
      <c r="I92" s="1">
        <v>33</v>
      </c>
      <c r="J92" s="1" t="s">
        <v>39</v>
      </c>
      <c r="K92" s="1" t="e">
        <v>#N/A</v>
      </c>
      <c r="L92" s="1" t="s">
        <v>40</v>
      </c>
      <c r="P92">
        <f t="shared" si="15"/>
        <v>3</v>
      </c>
      <c r="R92">
        <f t="shared" si="16"/>
        <v>0</v>
      </c>
      <c r="V92">
        <f t="shared" si="17"/>
        <v>0</v>
      </c>
      <c r="W92">
        <f t="shared" si="18"/>
        <v>0</v>
      </c>
      <c r="AD92">
        <f t="shared" si="19"/>
        <v>0</v>
      </c>
      <c r="AE92">
        <f t="shared" si="20"/>
        <v>0</v>
      </c>
    </row>
    <row r="93" spans="1:35">
      <c r="A93">
        <v>10570</v>
      </c>
      <c r="B93" s="2">
        <v>46022</v>
      </c>
      <c r="C93" s="1">
        <v>6</v>
      </c>
      <c r="D93" s="1" t="s">
        <v>35</v>
      </c>
      <c r="E93" s="1" t="s">
        <v>36</v>
      </c>
      <c r="F93" s="1">
        <v>10571</v>
      </c>
      <c r="G93" s="1" t="s">
        <v>37</v>
      </c>
      <c r="H93" s="1" t="s">
        <v>38</v>
      </c>
      <c r="I93" s="1">
        <v>33</v>
      </c>
      <c r="J93" s="1" t="s">
        <v>251</v>
      </c>
      <c r="K93" s="1" t="e">
        <v>#N/A</v>
      </c>
      <c r="L93" s="1" t="s">
        <v>252</v>
      </c>
      <c r="M93">
        <v>3</v>
      </c>
      <c r="N93">
        <v>1</v>
      </c>
      <c r="O93">
        <v>2</v>
      </c>
      <c r="P93">
        <f t="shared" si="15"/>
        <v>14</v>
      </c>
      <c r="Q93">
        <v>7</v>
      </c>
      <c r="R93">
        <f t="shared" si="16"/>
        <v>12.928571428571429</v>
      </c>
      <c r="S93">
        <v>181</v>
      </c>
      <c r="T93">
        <v>102</v>
      </c>
      <c r="V93">
        <f t="shared" si="17"/>
        <v>0</v>
      </c>
      <c r="W93">
        <f t="shared" si="18"/>
        <v>181</v>
      </c>
      <c r="Y93">
        <v>11</v>
      </c>
      <c r="Z93">
        <v>4</v>
      </c>
      <c r="AD93">
        <f t="shared" si="19"/>
        <v>0</v>
      </c>
      <c r="AE93">
        <f t="shared" si="20"/>
        <v>0</v>
      </c>
      <c r="AH93">
        <v>0</v>
      </c>
      <c r="AI93">
        <v>0</v>
      </c>
    </row>
    <row r="94" spans="1:35">
      <c r="A94">
        <v>10563</v>
      </c>
      <c r="B94" s="2">
        <v>46022</v>
      </c>
      <c r="C94" s="1">
        <v>6</v>
      </c>
      <c r="D94" s="1" t="s">
        <v>35</v>
      </c>
      <c r="E94" s="1" t="s">
        <v>36</v>
      </c>
      <c r="F94" s="1">
        <v>10564</v>
      </c>
      <c r="G94" s="1" t="s">
        <v>37</v>
      </c>
      <c r="H94" s="1" t="s">
        <v>38</v>
      </c>
      <c r="I94" s="1">
        <v>33</v>
      </c>
      <c r="J94" s="1" t="s">
        <v>241</v>
      </c>
      <c r="K94" s="1" t="e">
        <v>#N/A</v>
      </c>
      <c r="L94" s="1" t="s">
        <v>242</v>
      </c>
      <c r="M94">
        <v>14</v>
      </c>
      <c r="N94">
        <v>14</v>
      </c>
      <c r="O94">
        <v>0</v>
      </c>
      <c r="P94">
        <f t="shared" si="15"/>
        <v>9</v>
      </c>
      <c r="Q94">
        <v>5</v>
      </c>
      <c r="R94">
        <f t="shared" si="16"/>
        <v>47.666666666666664</v>
      </c>
      <c r="S94">
        <v>429</v>
      </c>
      <c r="T94">
        <v>144</v>
      </c>
      <c r="V94">
        <f t="shared" si="17"/>
        <v>0</v>
      </c>
      <c r="W94">
        <f t="shared" si="18"/>
        <v>429</v>
      </c>
      <c r="Y94">
        <v>8</v>
      </c>
      <c r="Z94">
        <v>3</v>
      </c>
      <c r="AD94">
        <f t="shared" si="19"/>
        <v>0</v>
      </c>
      <c r="AE94">
        <f t="shared" si="20"/>
        <v>0</v>
      </c>
      <c r="AH94">
        <v>0</v>
      </c>
      <c r="AI94">
        <v>0</v>
      </c>
    </row>
    <row r="95" spans="1:35">
      <c r="A95">
        <v>10592</v>
      </c>
      <c r="B95" s="2">
        <v>46022</v>
      </c>
      <c r="C95" s="1">
        <v>6</v>
      </c>
      <c r="D95" s="1" t="s">
        <v>35</v>
      </c>
      <c r="E95" s="1" t="s">
        <v>36</v>
      </c>
      <c r="F95" s="1">
        <v>10593</v>
      </c>
      <c r="G95" s="1" t="s">
        <v>37</v>
      </c>
      <c r="H95" s="1" t="s">
        <v>38</v>
      </c>
      <c r="I95" s="1">
        <v>33</v>
      </c>
      <c r="J95" s="1" t="s">
        <v>269</v>
      </c>
      <c r="K95" s="1" t="e">
        <v>#N/A</v>
      </c>
      <c r="L95" s="1" t="s">
        <v>270</v>
      </c>
      <c r="M95">
        <v>9</v>
      </c>
      <c r="N95">
        <v>7</v>
      </c>
      <c r="O95">
        <v>2</v>
      </c>
      <c r="P95">
        <f t="shared" si="15"/>
        <v>2</v>
      </c>
      <c r="Q95">
        <v>4</v>
      </c>
      <c r="R95">
        <f t="shared" si="16"/>
        <v>135</v>
      </c>
      <c r="S95">
        <v>270</v>
      </c>
      <c r="T95">
        <v>95</v>
      </c>
      <c r="V95">
        <f t="shared" si="17"/>
        <v>0</v>
      </c>
      <c r="W95">
        <f t="shared" si="18"/>
        <v>270</v>
      </c>
      <c r="Y95">
        <v>4</v>
      </c>
      <c r="Z95">
        <v>3</v>
      </c>
      <c r="AD95">
        <f t="shared" si="19"/>
        <v>0</v>
      </c>
      <c r="AE95">
        <f t="shared" si="20"/>
        <v>0</v>
      </c>
      <c r="AH95">
        <v>0</v>
      </c>
      <c r="AI95">
        <v>0</v>
      </c>
    </row>
    <row r="96" spans="1:35">
      <c r="A96">
        <v>10468</v>
      </c>
      <c r="B96" s="2">
        <v>46022</v>
      </c>
      <c r="C96" s="1">
        <v>6</v>
      </c>
      <c r="D96" s="1" t="s">
        <v>35</v>
      </c>
      <c r="E96" s="1" t="s">
        <v>36</v>
      </c>
      <c r="F96" s="1">
        <v>10469</v>
      </c>
      <c r="G96" s="1" t="s">
        <v>37</v>
      </c>
      <c r="H96" s="1" t="s">
        <v>38</v>
      </c>
      <c r="I96" s="1">
        <v>33</v>
      </c>
      <c r="J96" s="1" t="s">
        <v>197</v>
      </c>
      <c r="K96" s="1" t="e">
        <v>#N/A</v>
      </c>
      <c r="L96" s="1" t="s">
        <v>198</v>
      </c>
      <c r="M96">
        <v>2</v>
      </c>
      <c r="N96">
        <v>1</v>
      </c>
      <c r="O96">
        <v>1</v>
      </c>
      <c r="P96">
        <f t="shared" si="15"/>
        <v>0</v>
      </c>
      <c r="Q96">
        <v>10</v>
      </c>
      <c r="R96" t="e">
        <f t="shared" si="16"/>
        <v>#DIV/0!</v>
      </c>
      <c r="S96">
        <v>146</v>
      </c>
      <c r="T96">
        <v>92</v>
      </c>
      <c r="V96">
        <f t="shared" si="17"/>
        <v>0</v>
      </c>
      <c r="W96">
        <f t="shared" si="18"/>
        <v>146</v>
      </c>
      <c r="Y96">
        <v>16</v>
      </c>
      <c r="Z96">
        <v>2</v>
      </c>
      <c r="AD96">
        <f t="shared" si="19"/>
        <v>0</v>
      </c>
      <c r="AE96">
        <f t="shared" si="20"/>
        <v>0</v>
      </c>
      <c r="AH96">
        <v>0</v>
      </c>
      <c r="AI96">
        <v>0</v>
      </c>
    </row>
    <row r="97" spans="1:35">
      <c r="A97">
        <v>10770</v>
      </c>
      <c r="B97" s="2">
        <v>46022</v>
      </c>
      <c r="C97" s="1">
        <v>6</v>
      </c>
      <c r="D97" s="1" t="s">
        <v>35</v>
      </c>
      <c r="E97" s="1" t="s">
        <v>36</v>
      </c>
      <c r="F97" s="1">
        <v>10771</v>
      </c>
      <c r="G97" s="1" t="s">
        <v>37</v>
      </c>
      <c r="H97" s="1" t="s">
        <v>38</v>
      </c>
      <c r="I97" s="1">
        <v>33</v>
      </c>
      <c r="J97" s="1" t="s">
        <v>360</v>
      </c>
      <c r="K97" s="1" t="e">
        <v>#N/A</v>
      </c>
      <c r="L97" s="1" t="s">
        <v>361</v>
      </c>
      <c r="P97">
        <f t="shared" si="15"/>
        <v>0</v>
      </c>
      <c r="R97" t="e">
        <f t="shared" si="16"/>
        <v>#DIV/0!</v>
      </c>
      <c r="V97">
        <f t="shared" si="17"/>
        <v>0</v>
      </c>
      <c r="W97">
        <f t="shared" si="18"/>
        <v>0</v>
      </c>
      <c r="AD97">
        <f t="shared" si="19"/>
        <v>0</v>
      </c>
      <c r="AE97">
        <f t="shared" si="20"/>
        <v>0</v>
      </c>
    </row>
    <row r="98" spans="1:35">
      <c r="A98">
        <v>10552</v>
      </c>
      <c r="B98" s="2">
        <v>46022</v>
      </c>
      <c r="C98" s="1">
        <v>6</v>
      </c>
      <c r="D98" s="1" t="s">
        <v>35</v>
      </c>
      <c r="E98" s="1" t="s">
        <v>36</v>
      </c>
      <c r="F98" s="1">
        <v>10553</v>
      </c>
      <c r="G98" s="1" t="s">
        <v>37</v>
      </c>
      <c r="H98" s="1" t="s">
        <v>38</v>
      </c>
      <c r="I98" s="1">
        <v>33</v>
      </c>
      <c r="J98" s="1" t="s">
        <v>229</v>
      </c>
      <c r="K98" s="1" t="e">
        <v>#N/A</v>
      </c>
      <c r="L98" s="1" t="s">
        <v>230</v>
      </c>
      <c r="P98">
        <f t="shared" si="15"/>
        <v>10</v>
      </c>
      <c r="R98">
        <f t="shared" si="16"/>
        <v>0</v>
      </c>
      <c r="V98">
        <f t="shared" si="17"/>
        <v>0</v>
      </c>
      <c r="W98">
        <f t="shared" si="18"/>
        <v>0</v>
      </c>
      <c r="AD98">
        <f t="shared" si="19"/>
        <v>0</v>
      </c>
      <c r="AE98">
        <f t="shared" si="20"/>
        <v>0</v>
      </c>
    </row>
    <row r="99" spans="1:35">
      <c r="A99">
        <v>10441</v>
      </c>
      <c r="B99" s="2">
        <v>46022</v>
      </c>
      <c r="C99" s="1">
        <v>6</v>
      </c>
      <c r="D99" s="1" t="s">
        <v>35</v>
      </c>
      <c r="E99" s="1" t="s">
        <v>36</v>
      </c>
      <c r="F99" s="1">
        <v>10442</v>
      </c>
      <c r="G99" s="1" t="s">
        <v>37</v>
      </c>
      <c r="H99" s="1" t="s">
        <v>38</v>
      </c>
      <c r="I99" s="1">
        <v>33</v>
      </c>
      <c r="J99" s="1" t="s">
        <v>169</v>
      </c>
      <c r="K99" s="1" t="e">
        <v>#N/A</v>
      </c>
      <c r="L99" s="1" t="s">
        <v>170</v>
      </c>
      <c r="M99">
        <v>10</v>
      </c>
      <c r="N99">
        <v>4</v>
      </c>
      <c r="O99">
        <v>6</v>
      </c>
      <c r="P99">
        <f t="shared" si="15"/>
        <v>9</v>
      </c>
      <c r="Q99">
        <v>7</v>
      </c>
      <c r="R99">
        <f t="shared" si="16"/>
        <v>37.444444444444443</v>
      </c>
      <c r="S99">
        <v>337</v>
      </c>
      <c r="T99">
        <v>225</v>
      </c>
      <c r="V99">
        <f t="shared" si="17"/>
        <v>0</v>
      </c>
      <c r="W99">
        <f t="shared" si="18"/>
        <v>337</v>
      </c>
      <c r="Y99">
        <v>30</v>
      </c>
      <c r="Z99">
        <v>2</v>
      </c>
      <c r="AD99">
        <f t="shared" si="19"/>
        <v>0</v>
      </c>
      <c r="AE99">
        <f t="shared" si="20"/>
        <v>0</v>
      </c>
      <c r="AH99">
        <v>0</v>
      </c>
      <c r="AI99">
        <v>0</v>
      </c>
    </row>
    <row r="100" spans="1:35">
      <c r="A100">
        <v>10461</v>
      </c>
      <c r="B100" s="2">
        <v>46022</v>
      </c>
      <c r="C100" s="1">
        <v>6</v>
      </c>
      <c r="D100" s="1" t="s">
        <v>35</v>
      </c>
      <c r="E100" s="1" t="s">
        <v>36</v>
      </c>
      <c r="F100" s="1">
        <v>10462</v>
      </c>
      <c r="G100" s="1" t="s">
        <v>37</v>
      </c>
      <c r="H100" s="1" t="s">
        <v>38</v>
      </c>
      <c r="I100" s="1">
        <v>33</v>
      </c>
      <c r="J100" s="1" t="s">
        <v>191</v>
      </c>
      <c r="K100" s="1" t="e">
        <v>#N/A</v>
      </c>
      <c r="L100" s="1" t="s">
        <v>192</v>
      </c>
      <c r="M100">
        <v>9</v>
      </c>
      <c r="N100">
        <v>4</v>
      </c>
      <c r="O100">
        <v>5</v>
      </c>
      <c r="P100">
        <f t="shared" si="15"/>
        <v>0</v>
      </c>
      <c r="Q100">
        <v>7</v>
      </c>
      <c r="R100" t="e">
        <f t="shared" si="16"/>
        <v>#DIV/0!</v>
      </c>
      <c r="S100">
        <v>328</v>
      </c>
      <c r="T100">
        <v>189</v>
      </c>
      <c r="V100">
        <f t="shared" si="17"/>
        <v>0</v>
      </c>
      <c r="W100">
        <f t="shared" si="18"/>
        <v>328</v>
      </c>
      <c r="Y100">
        <v>24</v>
      </c>
      <c r="Z100">
        <v>2</v>
      </c>
      <c r="AD100">
        <f t="shared" si="19"/>
        <v>0</v>
      </c>
      <c r="AE100">
        <f t="shared" si="20"/>
        <v>0</v>
      </c>
      <c r="AH100">
        <v>0</v>
      </c>
      <c r="AI100">
        <v>0</v>
      </c>
    </row>
    <row r="101" spans="1:35">
      <c r="A101">
        <v>10771</v>
      </c>
      <c r="B101" s="2">
        <v>46022</v>
      </c>
      <c r="C101" s="1">
        <v>6</v>
      </c>
      <c r="D101" s="1" t="s">
        <v>35</v>
      </c>
      <c r="E101" s="1" t="s">
        <v>36</v>
      </c>
      <c r="F101" s="1">
        <v>10772</v>
      </c>
      <c r="G101" s="1" t="s">
        <v>37</v>
      </c>
      <c r="H101" s="1" t="s">
        <v>38</v>
      </c>
      <c r="I101" s="1">
        <v>33</v>
      </c>
      <c r="J101" s="1" t="s">
        <v>362</v>
      </c>
      <c r="K101" s="1" t="e">
        <v>#N/A</v>
      </c>
      <c r="L101" s="1" t="s">
        <v>363</v>
      </c>
      <c r="P101">
        <f t="shared" si="15"/>
        <v>5</v>
      </c>
      <c r="R101">
        <f t="shared" si="16"/>
        <v>0</v>
      </c>
      <c r="V101">
        <f t="shared" si="17"/>
        <v>0</v>
      </c>
      <c r="W101">
        <f t="shared" si="18"/>
        <v>0</v>
      </c>
      <c r="AD101">
        <f t="shared" si="19"/>
        <v>0</v>
      </c>
      <c r="AE101">
        <f t="shared" si="20"/>
        <v>0</v>
      </c>
    </row>
    <row r="102" spans="1:35">
      <c r="A102">
        <v>10100</v>
      </c>
      <c r="B102" s="2">
        <v>46022</v>
      </c>
      <c r="C102" s="1">
        <v>6</v>
      </c>
      <c r="D102" s="1" t="s">
        <v>35</v>
      </c>
      <c r="E102" s="1" t="s">
        <v>36</v>
      </c>
      <c r="F102" s="1">
        <v>10101</v>
      </c>
      <c r="G102" s="1" t="s">
        <v>37</v>
      </c>
      <c r="H102" s="1" t="s">
        <v>38</v>
      </c>
      <c r="I102" s="1">
        <v>33</v>
      </c>
      <c r="J102" s="1" t="s">
        <v>57</v>
      </c>
      <c r="K102" s="1">
        <v>13710</v>
      </c>
      <c r="L102" s="1" t="s">
        <v>58</v>
      </c>
      <c r="M102">
        <v>5</v>
      </c>
      <c r="N102">
        <v>4</v>
      </c>
      <c r="O102">
        <v>1</v>
      </c>
      <c r="P102">
        <f t="shared" si="15"/>
        <v>9</v>
      </c>
      <c r="Q102">
        <v>1</v>
      </c>
      <c r="R102">
        <f t="shared" si="16"/>
        <v>2.7777777777777777</v>
      </c>
      <c r="S102">
        <v>25</v>
      </c>
      <c r="T102">
        <v>3</v>
      </c>
      <c r="V102">
        <f t="shared" si="17"/>
        <v>0</v>
      </c>
      <c r="W102">
        <f t="shared" si="18"/>
        <v>25</v>
      </c>
      <c r="Y102">
        <v>2</v>
      </c>
      <c r="Z102">
        <v>1</v>
      </c>
      <c r="AD102">
        <f t="shared" si="19"/>
        <v>0</v>
      </c>
      <c r="AE102">
        <f t="shared" si="20"/>
        <v>0</v>
      </c>
      <c r="AH102">
        <v>0</v>
      </c>
      <c r="AI102">
        <v>0</v>
      </c>
    </row>
    <row r="103" spans="1:35">
      <c r="A103">
        <v>10414</v>
      </c>
      <c r="B103" s="2">
        <v>46022</v>
      </c>
      <c r="C103" s="1">
        <v>6</v>
      </c>
      <c r="D103" s="1" t="s">
        <v>35</v>
      </c>
      <c r="E103" s="1" t="s">
        <v>36</v>
      </c>
      <c r="F103" s="1">
        <v>10415</v>
      </c>
      <c r="G103" s="1" t="s">
        <v>37</v>
      </c>
      <c r="H103" s="1" t="s">
        <v>38</v>
      </c>
      <c r="I103" s="1">
        <v>33</v>
      </c>
      <c r="J103" s="1" t="s">
        <v>163</v>
      </c>
      <c r="K103" s="1" t="e">
        <v>#N/A</v>
      </c>
      <c r="L103" s="1" t="s">
        <v>164</v>
      </c>
      <c r="M103">
        <v>9</v>
      </c>
      <c r="N103">
        <v>7</v>
      </c>
      <c r="O103">
        <v>2</v>
      </c>
      <c r="P103">
        <f t="shared" si="15"/>
        <v>10</v>
      </c>
      <c r="Q103">
        <v>3</v>
      </c>
      <c r="R103">
        <f t="shared" si="16"/>
        <v>22.5</v>
      </c>
      <c r="S103">
        <v>225</v>
      </c>
      <c r="T103">
        <v>46</v>
      </c>
      <c r="V103">
        <f t="shared" si="17"/>
        <v>0</v>
      </c>
      <c r="W103">
        <f t="shared" si="18"/>
        <v>225</v>
      </c>
      <c r="Y103">
        <v>4</v>
      </c>
      <c r="Z103">
        <v>2</v>
      </c>
      <c r="AD103">
        <f t="shared" si="19"/>
        <v>0</v>
      </c>
      <c r="AE103">
        <f t="shared" si="20"/>
        <v>0</v>
      </c>
      <c r="AH103">
        <v>0</v>
      </c>
      <c r="AI103">
        <v>0</v>
      </c>
    </row>
    <row r="104" spans="1:35">
      <c r="A104">
        <v>10495</v>
      </c>
      <c r="B104" s="2">
        <v>46022</v>
      </c>
      <c r="C104" s="1">
        <v>6</v>
      </c>
      <c r="D104" s="1" t="s">
        <v>35</v>
      </c>
      <c r="E104" s="1" t="s">
        <v>36</v>
      </c>
      <c r="F104" s="1">
        <v>10496</v>
      </c>
      <c r="G104" s="1" t="s">
        <v>37</v>
      </c>
      <c r="H104" s="1" t="s">
        <v>38</v>
      </c>
      <c r="I104" s="1">
        <v>33</v>
      </c>
      <c r="J104" s="1" t="s">
        <v>199</v>
      </c>
      <c r="K104" s="1" t="e">
        <v>#N/A</v>
      </c>
      <c r="L104" s="1" t="s">
        <v>200</v>
      </c>
      <c r="M104">
        <v>10</v>
      </c>
      <c r="N104">
        <v>10</v>
      </c>
      <c r="O104">
        <v>0</v>
      </c>
      <c r="P104">
        <f t="shared" si="15"/>
        <v>0</v>
      </c>
      <c r="Q104">
        <v>2</v>
      </c>
      <c r="R104" t="e">
        <f t="shared" si="16"/>
        <v>#DIV/0!</v>
      </c>
      <c r="S104">
        <v>320</v>
      </c>
      <c r="T104">
        <v>102</v>
      </c>
      <c r="V104">
        <f t="shared" si="17"/>
        <v>0</v>
      </c>
      <c r="W104">
        <f t="shared" si="18"/>
        <v>320</v>
      </c>
      <c r="Y104">
        <v>2</v>
      </c>
      <c r="Z104">
        <v>4</v>
      </c>
      <c r="AD104">
        <f t="shared" si="19"/>
        <v>0</v>
      </c>
      <c r="AE104">
        <f t="shared" si="20"/>
        <v>0</v>
      </c>
      <c r="AH104">
        <v>0</v>
      </c>
      <c r="AI104">
        <v>0</v>
      </c>
    </row>
    <row r="105" spans="1:35">
      <c r="A105">
        <v>10187</v>
      </c>
      <c r="B105" s="2">
        <v>46022</v>
      </c>
      <c r="C105" s="1">
        <v>6</v>
      </c>
      <c r="D105" s="1" t="s">
        <v>35</v>
      </c>
      <c r="E105" s="1" t="s">
        <v>36</v>
      </c>
      <c r="F105" s="1">
        <v>10188</v>
      </c>
      <c r="G105" s="1" t="s">
        <v>37</v>
      </c>
      <c r="H105" s="1" t="s">
        <v>38</v>
      </c>
      <c r="I105" s="1">
        <v>33</v>
      </c>
      <c r="J105" s="1" t="s">
        <v>72</v>
      </c>
      <c r="K105" s="1" t="e">
        <v>#N/A</v>
      </c>
      <c r="L105" s="1" t="s">
        <v>73</v>
      </c>
      <c r="P105">
        <f t="shared" si="15"/>
        <v>5</v>
      </c>
      <c r="R105">
        <f t="shared" si="16"/>
        <v>0</v>
      </c>
      <c r="V105">
        <f t="shared" si="17"/>
        <v>0</v>
      </c>
      <c r="W105">
        <f t="shared" si="18"/>
        <v>0</v>
      </c>
      <c r="AD105">
        <f t="shared" si="19"/>
        <v>0</v>
      </c>
      <c r="AE105">
        <f t="shared" si="20"/>
        <v>0</v>
      </c>
    </row>
    <row r="106" spans="1:35">
      <c r="A106">
        <v>10369</v>
      </c>
      <c r="B106" s="2">
        <v>46022</v>
      </c>
      <c r="C106" s="1">
        <v>6</v>
      </c>
      <c r="D106" s="1" t="s">
        <v>35</v>
      </c>
      <c r="E106" s="1" t="s">
        <v>36</v>
      </c>
      <c r="F106" s="1">
        <v>10370</v>
      </c>
      <c r="G106" s="1" t="s">
        <v>37</v>
      </c>
      <c r="H106" s="1" t="s">
        <v>38</v>
      </c>
      <c r="I106" s="1">
        <v>33</v>
      </c>
      <c r="J106" s="1" t="s">
        <v>148</v>
      </c>
      <c r="K106" s="1" t="e">
        <v>#N/A</v>
      </c>
      <c r="L106" s="1" t="s">
        <v>149</v>
      </c>
      <c r="M106">
        <v>3</v>
      </c>
      <c r="N106">
        <v>3</v>
      </c>
      <c r="O106">
        <v>2</v>
      </c>
      <c r="P106">
        <f t="shared" si="15"/>
        <v>0</v>
      </c>
      <c r="Q106">
        <v>2</v>
      </c>
      <c r="R106" t="e">
        <f t="shared" si="16"/>
        <v>#DIV/0!</v>
      </c>
      <c r="S106">
        <v>9</v>
      </c>
      <c r="T106">
        <v>3</v>
      </c>
      <c r="V106">
        <f t="shared" si="17"/>
        <v>0</v>
      </c>
      <c r="W106">
        <f t="shared" si="18"/>
        <v>9</v>
      </c>
      <c r="Y106">
        <v>2</v>
      </c>
      <c r="Z106">
        <v>1</v>
      </c>
      <c r="AD106">
        <f t="shared" si="19"/>
        <v>0</v>
      </c>
      <c r="AE106">
        <f t="shared" si="20"/>
        <v>0</v>
      </c>
      <c r="AH106">
        <v>0</v>
      </c>
      <c r="AI106">
        <v>0</v>
      </c>
    </row>
    <row r="107" spans="1:35">
      <c r="A107">
        <v>10321</v>
      </c>
      <c r="B107" s="2">
        <v>46022</v>
      </c>
      <c r="C107" s="1">
        <v>6</v>
      </c>
      <c r="D107" s="1" t="s">
        <v>35</v>
      </c>
      <c r="E107" s="1" t="s">
        <v>36</v>
      </c>
      <c r="F107" s="1">
        <v>10322</v>
      </c>
      <c r="G107" s="1" t="s">
        <v>63</v>
      </c>
      <c r="H107" s="1" t="s">
        <v>63</v>
      </c>
      <c r="I107" s="1">
        <v>34</v>
      </c>
      <c r="J107" s="1" t="s">
        <v>111</v>
      </c>
      <c r="K107" s="1" t="e">
        <v>#N/A</v>
      </c>
      <c r="L107" s="1" t="s">
        <v>112</v>
      </c>
      <c r="P107">
        <f t="shared" ref="P107:P143" si="21">SUM(N108:O108)</f>
        <v>1</v>
      </c>
      <c r="R107">
        <f t="shared" ref="R107:R143" si="22">S107/P107</f>
        <v>0</v>
      </c>
      <c r="V107">
        <f t="shared" ref="V107:V143" si="23">ROUND(SUM(U107*T107)/100,0)</f>
        <v>0</v>
      </c>
      <c r="W107">
        <f t="shared" ref="W107:W143" si="24">ROUND(SUM(S107-V107),0)</f>
        <v>0</v>
      </c>
      <c r="AD107">
        <f t="shared" ref="AD107:AD143" si="25">SUM(V107/100)</f>
        <v>0</v>
      </c>
      <c r="AE107">
        <f t="shared" ref="AE107:AE143" si="26">ROUND(SUM(P107*AD107),0)</f>
        <v>0</v>
      </c>
    </row>
    <row r="108" spans="1:35">
      <c r="A108">
        <v>10508</v>
      </c>
      <c r="B108" s="2">
        <v>46022</v>
      </c>
      <c r="C108" s="1">
        <v>6</v>
      </c>
      <c r="D108" s="1" t="s">
        <v>35</v>
      </c>
      <c r="E108" s="1" t="s">
        <v>36</v>
      </c>
      <c r="F108" s="1">
        <v>10509</v>
      </c>
      <c r="G108" s="1" t="s">
        <v>63</v>
      </c>
      <c r="H108" s="1" t="s">
        <v>63</v>
      </c>
      <c r="I108" s="1">
        <v>34</v>
      </c>
      <c r="J108" s="1" t="s">
        <v>205</v>
      </c>
      <c r="K108" s="1" t="e">
        <v>#N/A</v>
      </c>
      <c r="L108" s="1" t="s">
        <v>206</v>
      </c>
      <c r="M108">
        <v>1</v>
      </c>
      <c r="N108">
        <v>1</v>
      </c>
      <c r="O108">
        <v>0</v>
      </c>
      <c r="P108">
        <f t="shared" si="21"/>
        <v>0</v>
      </c>
      <c r="Q108">
        <v>1</v>
      </c>
      <c r="R108" t="e">
        <f t="shared" si="22"/>
        <v>#DIV/0!</v>
      </c>
      <c r="S108">
        <v>2</v>
      </c>
      <c r="T108">
        <v>1</v>
      </c>
      <c r="V108">
        <f t="shared" si="23"/>
        <v>0</v>
      </c>
      <c r="W108">
        <f t="shared" si="24"/>
        <v>2</v>
      </c>
      <c r="Y108">
        <v>0</v>
      </c>
      <c r="Z108">
        <v>1</v>
      </c>
      <c r="AD108">
        <f t="shared" si="25"/>
        <v>0</v>
      </c>
      <c r="AE108">
        <f t="shared" si="26"/>
        <v>0</v>
      </c>
      <c r="AH108">
        <v>0</v>
      </c>
      <c r="AI108">
        <v>0</v>
      </c>
    </row>
    <row r="109" spans="1:35">
      <c r="A109">
        <v>10772</v>
      </c>
      <c r="B109" s="2">
        <v>46022</v>
      </c>
      <c r="C109" s="1">
        <v>6</v>
      </c>
      <c r="D109" s="1" t="s">
        <v>35</v>
      </c>
      <c r="E109" s="1" t="s">
        <v>36</v>
      </c>
      <c r="F109" s="1">
        <v>10773</v>
      </c>
      <c r="G109" s="1" t="s">
        <v>63</v>
      </c>
      <c r="H109" s="1" t="s">
        <v>63</v>
      </c>
      <c r="I109" s="1">
        <v>34</v>
      </c>
      <c r="J109" s="1" t="s">
        <v>364</v>
      </c>
      <c r="K109" s="1" t="e">
        <v>#N/A</v>
      </c>
      <c r="L109" s="1" t="s">
        <v>365</v>
      </c>
      <c r="P109">
        <f t="shared" si="21"/>
        <v>0</v>
      </c>
      <c r="R109" t="e">
        <f t="shared" si="22"/>
        <v>#DIV/0!</v>
      </c>
      <c r="S109" s="3"/>
      <c r="V109">
        <f t="shared" si="23"/>
        <v>0</v>
      </c>
      <c r="W109">
        <f t="shared" si="24"/>
        <v>0</v>
      </c>
      <c r="AD109">
        <f t="shared" si="25"/>
        <v>0</v>
      </c>
      <c r="AE109">
        <f t="shared" si="26"/>
        <v>0</v>
      </c>
    </row>
    <row r="110" spans="1:35">
      <c r="A110">
        <v>10290</v>
      </c>
      <c r="B110" s="2">
        <v>46022</v>
      </c>
      <c r="C110" s="1">
        <v>6</v>
      </c>
      <c r="D110" s="1" t="s">
        <v>35</v>
      </c>
      <c r="E110" s="1" t="s">
        <v>36</v>
      </c>
      <c r="F110" s="1">
        <v>10291</v>
      </c>
      <c r="G110" s="1" t="s">
        <v>63</v>
      </c>
      <c r="H110" s="1" t="s">
        <v>63</v>
      </c>
      <c r="I110" s="1">
        <v>34</v>
      </c>
      <c r="J110" s="1" t="s">
        <v>77</v>
      </c>
      <c r="K110" s="1" t="e">
        <v>#N/A</v>
      </c>
      <c r="L110" s="1" t="s">
        <v>78</v>
      </c>
      <c r="M110">
        <v>4</v>
      </c>
      <c r="N110">
        <v>0</v>
      </c>
      <c r="O110">
        <v>0</v>
      </c>
      <c r="P110">
        <f t="shared" si="21"/>
        <v>0</v>
      </c>
      <c r="Q110">
        <v>3</v>
      </c>
      <c r="R110" t="e">
        <f t="shared" si="22"/>
        <v>#DIV/0!</v>
      </c>
      <c r="S110">
        <v>6</v>
      </c>
      <c r="T110">
        <v>0</v>
      </c>
      <c r="V110">
        <f t="shared" si="23"/>
        <v>0</v>
      </c>
      <c r="W110">
        <f t="shared" si="24"/>
        <v>6</v>
      </c>
      <c r="Y110">
        <v>0</v>
      </c>
      <c r="Z110">
        <v>0</v>
      </c>
      <c r="AD110">
        <f t="shared" si="25"/>
        <v>0</v>
      </c>
      <c r="AE110">
        <f t="shared" si="26"/>
        <v>0</v>
      </c>
      <c r="AH110">
        <v>0</v>
      </c>
      <c r="AI110">
        <v>0</v>
      </c>
    </row>
    <row r="111" spans="1:35">
      <c r="A111">
        <v>10773</v>
      </c>
      <c r="B111" s="2">
        <v>46022</v>
      </c>
      <c r="C111" s="1">
        <v>6</v>
      </c>
      <c r="D111" s="1" t="s">
        <v>35</v>
      </c>
      <c r="E111" s="1" t="s">
        <v>36</v>
      </c>
      <c r="F111" s="1">
        <v>10774</v>
      </c>
      <c r="G111" s="1" t="s">
        <v>63</v>
      </c>
      <c r="H111" s="1" t="s">
        <v>63</v>
      </c>
      <c r="I111" s="1">
        <v>34</v>
      </c>
      <c r="J111" s="1" t="s">
        <v>366</v>
      </c>
      <c r="K111" s="1" t="e">
        <v>#N/A</v>
      </c>
      <c r="L111" s="1" t="s">
        <v>367</v>
      </c>
      <c r="P111">
        <f t="shared" si="21"/>
        <v>0</v>
      </c>
      <c r="R111" t="e">
        <f t="shared" si="22"/>
        <v>#DIV/0!</v>
      </c>
      <c r="V111">
        <f t="shared" si="23"/>
        <v>0</v>
      </c>
      <c r="W111">
        <f t="shared" si="24"/>
        <v>0</v>
      </c>
      <c r="AD111">
        <f t="shared" si="25"/>
        <v>0</v>
      </c>
      <c r="AE111">
        <f t="shared" si="26"/>
        <v>0</v>
      </c>
    </row>
    <row r="112" spans="1:35">
      <c r="A112">
        <v>10545</v>
      </c>
      <c r="B112" s="2">
        <v>46022</v>
      </c>
      <c r="C112" s="1">
        <v>6</v>
      </c>
      <c r="D112" s="1" t="s">
        <v>35</v>
      </c>
      <c r="E112" s="1" t="s">
        <v>36</v>
      </c>
      <c r="F112" s="1">
        <v>10546</v>
      </c>
      <c r="G112" s="1" t="s">
        <v>63</v>
      </c>
      <c r="H112" s="1" t="s">
        <v>63</v>
      </c>
      <c r="I112" s="1">
        <v>34</v>
      </c>
      <c r="J112" s="1" t="s">
        <v>221</v>
      </c>
      <c r="K112" s="1">
        <v>2629</v>
      </c>
      <c r="L112" s="1" t="s">
        <v>222</v>
      </c>
      <c r="P112">
        <f t="shared" si="21"/>
        <v>2</v>
      </c>
      <c r="R112">
        <f t="shared" si="22"/>
        <v>0</v>
      </c>
      <c r="V112">
        <f t="shared" si="23"/>
        <v>0</v>
      </c>
      <c r="W112">
        <f t="shared" si="24"/>
        <v>0</v>
      </c>
      <c r="AD112">
        <f t="shared" si="25"/>
        <v>0</v>
      </c>
      <c r="AE112">
        <f t="shared" si="26"/>
        <v>0</v>
      </c>
    </row>
    <row r="113" spans="1:35">
      <c r="A113">
        <v>10299</v>
      </c>
      <c r="B113" s="2">
        <v>46022</v>
      </c>
      <c r="C113" s="1">
        <v>6</v>
      </c>
      <c r="D113" s="1" t="s">
        <v>35</v>
      </c>
      <c r="E113" s="1" t="s">
        <v>36</v>
      </c>
      <c r="F113" s="1">
        <v>10300</v>
      </c>
      <c r="G113" s="1" t="s">
        <v>63</v>
      </c>
      <c r="H113" s="1" t="s">
        <v>63</v>
      </c>
      <c r="I113" s="1">
        <v>34</v>
      </c>
      <c r="J113" s="1" t="s">
        <v>83</v>
      </c>
      <c r="K113" s="1" t="e">
        <v>#N/A</v>
      </c>
      <c r="L113" s="1" t="s">
        <v>84</v>
      </c>
      <c r="M113">
        <v>4</v>
      </c>
      <c r="N113">
        <v>2</v>
      </c>
      <c r="O113">
        <v>0</v>
      </c>
      <c r="P113">
        <f t="shared" si="21"/>
        <v>16</v>
      </c>
      <c r="Q113">
        <v>4</v>
      </c>
      <c r="R113">
        <f t="shared" si="22"/>
        <v>1.0625</v>
      </c>
      <c r="S113">
        <v>17</v>
      </c>
      <c r="T113">
        <v>2</v>
      </c>
      <c r="V113">
        <f t="shared" si="23"/>
        <v>0</v>
      </c>
      <c r="W113">
        <f t="shared" si="24"/>
        <v>17</v>
      </c>
      <c r="Y113">
        <v>3</v>
      </c>
      <c r="Z113">
        <v>0</v>
      </c>
      <c r="AD113">
        <f t="shared" si="25"/>
        <v>0</v>
      </c>
      <c r="AE113">
        <f t="shared" si="26"/>
        <v>0</v>
      </c>
      <c r="AH113">
        <v>0</v>
      </c>
      <c r="AI113">
        <v>0</v>
      </c>
    </row>
    <row r="114" spans="1:35">
      <c r="A114">
        <v>10285</v>
      </c>
      <c r="B114" s="2">
        <v>46022</v>
      </c>
      <c r="C114" s="1">
        <v>6</v>
      </c>
      <c r="D114" s="1" t="s">
        <v>35</v>
      </c>
      <c r="E114" s="1" t="s">
        <v>36</v>
      </c>
      <c r="F114" s="1">
        <v>10286</v>
      </c>
      <c r="G114" s="1" t="s">
        <v>63</v>
      </c>
      <c r="H114" s="1" t="s">
        <v>63</v>
      </c>
      <c r="I114" s="1">
        <v>34</v>
      </c>
      <c r="J114" s="1" t="s">
        <v>76</v>
      </c>
      <c r="K114" s="1">
        <v>5400</v>
      </c>
      <c r="L114" s="1" t="s">
        <v>42</v>
      </c>
      <c r="M114">
        <v>43</v>
      </c>
      <c r="N114">
        <v>14</v>
      </c>
      <c r="O114">
        <v>2</v>
      </c>
      <c r="P114">
        <f t="shared" si="21"/>
        <v>0</v>
      </c>
      <c r="Q114">
        <v>4</v>
      </c>
      <c r="R114" t="e">
        <f t="shared" si="22"/>
        <v>#DIV/0!</v>
      </c>
      <c r="S114">
        <v>38</v>
      </c>
      <c r="T114">
        <v>7</v>
      </c>
      <c r="V114">
        <f t="shared" si="23"/>
        <v>0</v>
      </c>
      <c r="W114">
        <f t="shared" si="24"/>
        <v>38</v>
      </c>
      <c r="Y114">
        <v>15</v>
      </c>
      <c r="Z114">
        <v>16</v>
      </c>
      <c r="AD114">
        <f t="shared" si="25"/>
        <v>0</v>
      </c>
      <c r="AE114">
        <f t="shared" si="26"/>
        <v>0</v>
      </c>
      <c r="AH114">
        <v>0</v>
      </c>
      <c r="AI114">
        <v>0</v>
      </c>
    </row>
    <row r="115" spans="1:35">
      <c r="A115">
        <v>10774</v>
      </c>
      <c r="B115" s="2">
        <v>46022</v>
      </c>
      <c r="C115" s="1">
        <v>6</v>
      </c>
      <c r="D115" s="1" t="s">
        <v>35</v>
      </c>
      <c r="E115" s="1" t="s">
        <v>36</v>
      </c>
      <c r="F115" s="1">
        <v>10775</v>
      </c>
      <c r="G115" s="1" t="s">
        <v>63</v>
      </c>
      <c r="H115" s="1" t="s">
        <v>63</v>
      </c>
      <c r="I115" s="1">
        <v>34</v>
      </c>
      <c r="J115" s="1" t="s">
        <v>368</v>
      </c>
      <c r="K115" s="1" t="e">
        <v>#N/A</v>
      </c>
      <c r="L115" s="1" t="s">
        <v>369</v>
      </c>
      <c r="P115">
        <f t="shared" si="21"/>
        <v>2</v>
      </c>
      <c r="R115">
        <f t="shared" si="22"/>
        <v>0</v>
      </c>
      <c r="V115">
        <f t="shared" si="23"/>
        <v>0</v>
      </c>
      <c r="W115">
        <f t="shared" si="24"/>
        <v>0</v>
      </c>
      <c r="AD115">
        <f t="shared" si="25"/>
        <v>0</v>
      </c>
      <c r="AE115">
        <f t="shared" si="26"/>
        <v>0</v>
      </c>
    </row>
    <row r="116" spans="1:35">
      <c r="A116">
        <v>10649</v>
      </c>
      <c r="B116" s="2">
        <v>46022</v>
      </c>
      <c r="C116" s="1">
        <v>6</v>
      </c>
      <c r="D116" s="1" t="s">
        <v>35</v>
      </c>
      <c r="E116" s="1" t="s">
        <v>36</v>
      </c>
      <c r="F116" s="1">
        <v>10650</v>
      </c>
      <c r="G116" s="1" t="s">
        <v>63</v>
      </c>
      <c r="H116" s="1" t="s">
        <v>63</v>
      </c>
      <c r="I116" s="1">
        <v>34</v>
      </c>
      <c r="J116" s="1" t="s">
        <v>308</v>
      </c>
      <c r="K116" s="1">
        <v>5444</v>
      </c>
      <c r="L116" s="1" t="s">
        <v>309</v>
      </c>
      <c r="M116">
        <v>4</v>
      </c>
      <c r="N116">
        <v>2</v>
      </c>
      <c r="O116">
        <v>0</v>
      </c>
      <c r="P116">
        <f t="shared" si="21"/>
        <v>0</v>
      </c>
      <c r="Q116" s="1">
        <v>3</v>
      </c>
      <c r="R116" t="e">
        <f t="shared" si="22"/>
        <v>#DIV/0!</v>
      </c>
      <c r="S116" s="1">
        <v>21</v>
      </c>
      <c r="T116">
        <v>13</v>
      </c>
      <c r="V116">
        <f t="shared" si="23"/>
        <v>0</v>
      </c>
      <c r="W116">
        <f t="shared" si="24"/>
        <v>21</v>
      </c>
      <c r="Y116">
        <v>3</v>
      </c>
      <c r="Z116">
        <v>0</v>
      </c>
      <c r="AD116">
        <f t="shared" si="25"/>
        <v>0</v>
      </c>
      <c r="AE116">
        <f t="shared" si="26"/>
        <v>0</v>
      </c>
      <c r="AH116">
        <v>0</v>
      </c>
      <c r="AI116">
        <v>0</v>
      </c>
    </row>
    <row r="117" spans="1:35">
      <c r="A117">
        <v>10322</v>
      </c>
      <c r="B117" s="2">
        <v>46022</v>
      </c>
      <c r="C117" s="1">
        <v>6</v>
      </c>
      <c r="D117" s="1" t="s">
        <v>35</v>
      </c>
      <c r="E117" s="1" t="s">
        <v>36</v>
      </c>
      <c r="F117" s="1">
        <v>10323</v>
      </c>
      <c r="G117" s="1" t="s">
        <v>63</v>
      </c>
      <c r="H117" s="1" t="s">
        <v>63</v>
      </c>
      <c r="I117" s="1">
        <v>34</v>
      </c>
      <c r="J117" s="1" t="s">
        <v>113</v>
      </c>
      <c r="K117" s="1">
        <v>5911</v>
      </c>
      <c r="L117" s="1" t="s">
        <v>114</v>
      </c>
      <c r="P117">
        <f t="shared" si="21"/>
        <v>0</v>
      </c>
      <c r="R117" t="e">
        <f t="shared" si="22"/>
        <v>#DIV/0!</v>
      </c>
      <c r="V117">
        <f t="shared" si="23"/>
        <v>0</v>
      </c>
      <c r="W117">
        <f t="shared" si="24"/>
        <v>0</v>
      </c>
      <c r="AD117">
        <f t="shared" si="25"/>
        <v>0</v>
      </c>
      <c r="AE117">
        <f t="shared" si="26"/>
        <v>0</v>
      </c>
    </row>
    <row r="118" spans="1:35">
      <c r="A118">
        <v>10392</v>
      </c>
      <c r="B118" s="2">
        <v>46022</v>
      </c>
      <c r="C118" s="1">
        <v>6</v>
      </c>
      <c r="D118" s="1" t="s">
        <v>35</v>
      </c>
      <c r="E118" s="1" t="s">
        <v>36</v>
      </c>
      <c r="F118" s="1">
        <v>10393</v>
      </c>
      <c r="G118" s="1" t="s">
        <v>63</v>
      </c>
      <c r="H118" s="1" t="s">
        <v>63</v>
      </c>
      <c r="I118" s="1">
        <v>34</v>
      </c>
      <c r="J118" s="1" t="s">
        <v>160</v>
      </c>
      <c r="K118" s="1" t="e">
        <v>#N/A</v>
      </c>
      <c r="L118" s="1" t="s">
        <v>60</v>
      </c>
      <c r="P118">
        <f t="shared" si="21"/>
        <v>0</v>
      </c>
      <c r="R118" t="e">
        <f t="shared" si="22"/>
        <v>#DIV/0!</v>
      </c>
      <c r="V118">
        <f t="shared" si="23"/>
        <v>0</v>
      </c>
      <c r="W118">
        <f t="shared" si="24"/>
        <v>0</v>
      </c>
      <c r="AD118">
        <f t="shared" si="25"/>
        <v>0</v>
      </c>
      <c r="AE118">
        <f t="shared" si="26"/>
        <v>0</v>
      </c>
    </row>
    <row r="119" spans="1:35">
      <c r="A119">
        <v>10393</v>
      </c>
      <c r="B119" s="2">
        <v>46022</v>
      </c>
      <c r="C119" s="1">
        <v>6</v>
      </c>
      <c r="D119" s="1" t="s">
        <v>35</v>
      </c>
      <c r="E119" s="1" t="s">
        <v>36</v>
      </c>
      <c r="F119" s="1">
        <v>10394</v>
      </c>
      <c r="G119" s="1" t="s">
        <v>63</v>
      </c>
      <c r="H119" s="1" t="s">
        <v>63</v>
      </c>
      <c r="I119" s="1">
        <v>34</v>
      </c>
      <c r="J119" s="1" t="s">
        <v>161</v>
      </c>
      <c r="K119" s="1">
        <v>9847</v>
      </c>
      <c r="L119" s="1" t="s">
        <v>162</v>
      </c>
      <c r="P119">
        <f t="shared" si="21"/>
        <v>0</v>
      </c>
      <c r="R119" t="e">
        <f t="shared" si="22"/>
        <v>#DIV/0!</v>
      </c>
      <c r="V119">
        <f t="shared" si="23"/>
        <v>0</v>
      </c>
      <c r="W119">
        <f t="shared" si="24"/>
        <v>0</v>
      </c>
      <c r="AD119">
        <f t="shared" si="25"/>
        <v>0</v>
      </c>
      <c r="AE119">
        <f t="shared" si="26"/>
        <v>0</v>
      </c>
    </row>
    <row r="120" spans="1:35">
      <c r="A120">
        <v>10307</v>
      </c>
      <c r="B120" s="2">
        <v>46022</v>
      </c>
      <c r="C120" s="1">
        <v>6</v>
      </c>
      <c r="D120" s="1" t="s">
        <v>35</v>
      </c>
      <c r="E120" s="1" t="s">
        <v>36</v>
      </c>
      <c r="F120" s="1">
        <v>10308</v>
      </c>
      <c r="G120" s="1" t="s">
        <v>63</v>
      </c>
      <c r="H120" s="1" t="s">
        <v>63</v>
      </c>
      <c r="I120" s="1">
        <v>34</v>
      </c>
      <c r="J120" s="1" t="s">
        <v>93</v>
      </c>
      <c r="K120" s="1">
        <v>10289</v>
      </c>
      <c r="L120" s="1" t="s">
        <v>94</v>
      </c>
      <c r="P120">
        <f t="shared" si="21"/>
        <v>0</v>
      </c>
      <c r="R120" t="e">
        <f t="shared" si="22"/>
        <v>#DIV/0!</v>
      </c>
      <c r="V120">
        <f t="shared" si="23"/>
        <v>0</v>
      </c>
      <c r="W120">
        <f t="shared" si="24"/>
        <v>0</v>
      </c>
      <c r="AD120">
        <f t="shared" si="25"/>
        <v>0</v>
      </c>
      <c r="AE120">
        <f t="shared" si="26"/>
        <v>0</v>
      </c>
    </row>
    <row r="121" spans="1:35">
      <c r="A121">
        <v>10344</v>
      </c>
      <c r="B121" s="2">
        <v>46022</v>
      </c>
      <c r="C121" s="1">
        <v>6</v>
      </c>
      <c r="D121" s="1" t="s">
        <v>35</v>
      </c>
      <c r="E121" s="1" t="s">
        <v>36</v>
      </c>
      <c r="F121" s="1">
        <v>10345</v>
      </c>
      <c r="G121" s="1" t="s">
        <v>63</v>
      </c>
      <c r="H121" s="1" t="s">
        <v>63</v>
      </c>
      <c r="I121" s="1">
        <v>34</v>
      </c>
      <c r="J121" s="1" t="s">
        <v>135</v>
      </c>
      <c r="K121" s="1" t="e">
        <v>#N/A</v>
      </c>
      <c r="L121" s="1" t="s">
        <v>104</v>
      </c>
      <c r="M121">
        <v>13</v>
      </c>
      <c r="N121">
        <v>0</v>
      </c>
      <c r="O121">
        <v>0</v>
      </c>
      <c r="P121">
        <f t="shared" si="21"/>
        <v>1</v>
      </c>
      <c r="Q121">
        <v>1</v>
      </c>
      <c r="R121">
        <f t="shared" si="22"/>
        <v>3</v>
      </c>
      <c r="S121">
        <v>3</v>
      </c>
      <c r="T121">
        <v>0</v>
      </c>
      <c r="V121">
        <f t="shared" si="23"/>
        <v>0</v>
      </c>
      <c r="W121">
        <f t="shared" si="24"/>
        <v>3</v>
      </c>
      <c r="Y121">
        <v>3</v>
      </c>
      <c r="Z121">
        <v>3</v>
      </c>
      <c r="AD121">
        <f t="shared" si="25"/>
        <v>0</v>
      </c>
      <c r="AE121">
        <f t="shared" si="26"/>
        <v>0</v>
      </c>
      <c r="AH121">
        <v>0</v>
      </c>
      <c r="AI121">
        <v>0</v>
      </c>
    </row>
    <row r="122" spans="1:35">
      <c r="A122">
        <v>10335</v>
      </c>
      <c r="B122" s="2">
        <v>46022</v>
      </c>
      <c r="C122" s="1">
        <v>6</v>
      </c>
      <c r="D122" s="1" t="s">
        <v>35</v>
      </c>
      <c r="E122" s="1" t="s">
        <v>36</v>
      </c>
      <c r="F122" s="1">
        <v>10336</v>
      </c>
      <c r="G122" s="1" t="s">
        <v>63</v>
      </c>
      <c r="H122" s="1" t="s">
        <v>63</v>
      </c>
      <c r="I122" s="1">
        <v>34</v>
      </c>
      <c r="J122" s="1" t="s">
        <v>125</v>
      </c>
      <c r="K122" s="1" t="e">
        <v>#N/A</v>
      </c>
      <c r="L122" s="1" t="s">
        <v>126</v>
      </c>
      <c r="M122">
        <v>2</v>
      </c>
      <c r="N122">
        <v>1</v>
      </c>
      <c r="O122">
        <v>0</v>
      </c>
      <c r="P122">
        <f t="shared" si="21"/>
        <v>0</v>
      </c>
      <c r="Q122">
        <v>3</v>
      </c>
      <c r="R122" t="e">
        <f t="shared" si="22"/>
        <v>#DIV/0!</v>
      </c>
      <c r="S122">
        <v>8</v>
      </c>
      <c r="T122">
        <v>0</v>
      </c>
      <c r="V122">
        <f t="shared" si="23"/>
        <v>0</v>
      </c>
      <c r="W122">
        <f t="shared" si="24"/>
        <v>8</v>
      </c>
      <c r="Y122">
        <v>0</v>
      </c>
      <c r="Z122">
        <v>0</v>
      </c>
      <c r="AD122">
        <f t="shared" si="25"/>
        <v>0</v>
      </c>
      <c r="AE122">
        <f t="shared" si="26"/>
        <v>0</v>
      </c>
      <c r="AH122">
        <v>0</v>
      </c>
      <c r="AI122">
        <v>0</v>
      </c>
    </row>
    <row r="123" spans="1:35">
      <c r="A123">
        <v>10377</v>
      </c>
      <c r="B123" s="2">
        <v>46022</v>
      </c>
      <c r="C123" s="1">
        <v>6</v>
      </c>
      <c r="D123" s="1" t="s">
        <v>35</v>
      </c>
      <c r="E123" s="1" t="s">
        <v>36</v>
      </c>
      <c r="F123" s="1">
        <v>10378</v>
      </c>
      <c r="G123" s="1" t="s">
        <v>63</v>
      </c>
      <c r="H123" s="1" t="s">
        <v>63</v>
      </c>
      <c r="I123" s="1">
        <v>34</v>
      </c>
      <c r="J123" s="1" t="s">
        <v>153</v>
      </c>
      <c r="K123" s="1" t="e">
        <v>#N/A</v>
      </c>
      <c r="L123" s="1" t="s">
        <v>154</v>
      </c>
      <c r="M123">
        <v>1</v>
      </c>
      <c r="N123">
        <v>0</v>
      </c>
      <c r="O123">
        <v>0</v>
      </c>
      <c r="P123">
        <f t="shared" si="21"/>
        <v>0</v>
      </c>
      <c r="Q123">
        <v>2</v>
      </c>
      <c r="R123" t="e">
        <f t="shared" si="22"/>
        <v>#DIV/0!</v>
      </c>
      <c r="S123">
        <v>3</v>
      </c>
      <c r="T123">
        <v>0</v>
      </c>
      <c r="V123">
        <f t="shared" si="23"/>
        <v>0</v>
      </c>
      <c r="W123">
        <f t="shared" si="24"/>
        <v>3</v>
      </c>
      <c r="Y123">
        <v>0</v>
      </c>
      <c r="Z123">
        <v>0</v>
      </c>
      <c r="AD123">
        <f t="shared" si="25"/>
        <v>0</v>
      </c>
      <c r="AE123">
        <f t="shared" si="26"/>
        <v>0</v>
      </c>
      <c r="AH123">
        <v>0</v>
      </c>
      <c r="AI123">
        <v>0</v>
      </c>
    </row>
    <row r="124" spans="1:35">
      <c r="A124">
        <v>10296</v>
      </c>
      <c r="B124" s="2">
        <v>46022</v>
      </c>
      <c r="C124" s="1">
        <v>6</v>
      </c>
      <c r="D124" s="1" t="s">
        <v>35</v>
      </c>
      <c r="E124" s="1" t="s">
        <v>36</v>
      </c>
      <c r="F124" s="1">
        <v>10297</v>
      </c>
      <c r="G124" s="1" t="s">
        <v>63</v>
      </c>
      <c r="H124" s="1" t="s">
        <v>63</v>
      </c>
      <c r="I124" s="1">
        <v>34</v>
      </c>
      <c r="J124" s="1" t="s">
        <v>81</v>
      </c>
      <c r="K124" s="1" t="e">
        <v>#N/A</v>
      </c>
      <c r="L124" s="1" t="s">
        <v>82</v>
      </c>
      <c r="M124">
        <v>18</v>
      </c>
      <c r="N124">
        <v>0</v>
      </c>
      <c r="O124">
        <v>0</v>
      </c>
      <c r="P124">
        <f t="shared" si="21"/>
        <v>0</v>
      </c>
      <c r="Q124">
        <v>1</v>
      </c>
      <c r="R124" t="e">
        <f t="shared" si="22"/>
        <v>#DIV/0!</v>
      </c>
      <c r="S124">
        <v>0</v>
      </c>
      <c r="T124">
        <v>0</v>
      </c>
      <c r="V124">
        <f t="shared" si="23"/>
        <v>0</v>
      </c>
      <c r="W124">
        <f t="shared" si="24"/>
        <v>0</v>
      </c>
      <c r="Y124">
        <v>0</v>
      </c>
      <c r="Z124">
        <v>0</v>
      </c>
      <c r="AD124">
        <f t="shared" si="25"/>
        <v>0</v>
      </c>
      <c r="AE124">
        <f t="shared" si="26"/>
        <v>0</v>
      </c>
      <c r="AH124">
        <v>0</v>
      </c>
      <c r="AI124">
        <v>0</v>
      </c>
    </row>
    <row r="125" spans="1:35">
      <c r="A125">
        <v>10362</v>
      </c>
      <c r="B125" s="2">
        <v>46022</v>
      </c>
      <c r="C125" s="1">
        <v>6</v>
      </c>
      <c r="D125" s="1" t="s">
        <v>35</v>
      </c>
      <c r="E125" s="1" t="s">
        <v>36</v>
      </c>
      <c r="F125" s="1">
        <v>10363</v>
      </c>
      <c r="G125" s="1" t="s">
        <v>63</v>
      </c>
      <c r="H125" s="1" t="s">
        <v>63</v>
      </c>
      <c r="I125" s="1">
        <v>34</v>
      </c>
      <c r="J125" s="1" t="s">
        <v>146</v>
      </c>
      <c r="K125" s="1">
        <v>11128</v>
      </c>
      <c r="L125" s="1" t="s">
        <v>147</v>
      </c>
      <c r="M125">
        <v>1</v>
      </c>
      <c r="N125" s="1">
        <v>0</v>
      </c>
      <c r="O125" s="1">
        <v>0</v>
      </c>
      <c r="P125">
        <f t="shared" si="21"/>
        <v>0</v>
      </c>
      <c r="R125" t="e">
        <f t="shared" si="22"/>
        <v>#DIV/0!</v>
      </c>
      <c r="S125">
        <v>0</v>
      </c>
      <c r="T125">
        <v>0</v>
      </c>
      <c r="V125">
        <f t="shared" si="23"/>
        <v>0</v>
      </c>
      <c r="W125">
        <f t="shared" si="24"/>
        <v>0</v>
      </c>
      <c r="Y125">
        <v>0</v>
      </c>
      <c r="Z125">
        <v>0</v>
      </c>
      <c r="AD125">
        <f t="shared" si="25"/>
        <v>0</v>
      </c>
      <c r="AE125">
        <f t="shared" si="26"/>
        <v>0</v>
      </c>
      <c r="AH125">
        <v>0</v>
      </c>
      <c r="AI125">
        <v>0</v>
      </c>
    </row>
    <row r="126" spans="1:35">
      <c r="A126">
        <v>10810</v>
      </c>
      <c r="B126" s="2">
        <v>46022</v>
      </c>
      <c r="C126" s="1">
        <v>6</v>
      </c>
      <c r="D126" s="1" t="s">
        <v>35</v>
      </c>
      <c r="E126" s="1" t="s">
        <v>36</v>
      </c>
      <c r="F126" s="1">
        <v>10811</v>
      </c>
      <c r="G126" s="1" t="s">
        <v>63</v>
      </c>
      <c r="H126" s="1" t="s">
        <v>63</v>
      </c>
      <c r="I126" s="1">
        <v>34</v>
      </c>
      <c r="J126" s="1" t="s">
        <v>417</v>
      </c>
      <c r="K126" s="1" t="e">
        <v>#N/A</v>
      </c>
      <c r="L126" s="1" t="s">
        <v>418</v>
      </c>
      <c r="P126">
        <f t="shared" si="21"/>
        <v>12</v>
      </c>
      <c r="R126">
        <f t="shared" si="22"/>
        <v>0</v>
      </c>
      <c r="V126">
        <f t="shared" si="23"/>
        <v>0</v>
      </c>
      <c r="W126">
        <f t="shared" si="24"/>
        <v>0</v>
      </c>
      <c r="AD126">
        <f t="shared" si="25"/>
        <v>0</v>
      </c>
      <c r="AE126">
        <f t="shared" si="26"/>
        <v>0</v>
      </c>
    </row>
    <row r="127" spans="1:35">
      <c r="A127">
        <v>10378</v>
      </c>
      <c r="B127" s="2">
        <v>46022</v>
      </c>
      <c r="C127" s="1">
        <v>6</v>
      </c>
      <c r="D127" s="1" t="s">
        <v>35</v>
      </c>
      <c r="E127" s="1" t="s">
        <v>36</v>
      </c>
      <c r="F127" s="1">
        <v>10379</v>
      </c>
      <c r="G127" s="1" t="s">
        <v>63</v>
      </c>
      <c r="H127" s="1" t="s">
        <v>63</v>
      </c>
      <c r="I127" s="1">
        <v>34</v>
      </c>
      <c r="J127" s="1" t="s">
        <v>155</v>
      </c>
      <c r="K127" s="1">
        <v>11725</v>
      </c>
      <c r="L127" s="1" t="s">
        <v>156</v>
      </c>
      <c r="M127">
        <v>4</v>
      </c>
      <c r="N127">
        <v>5</v>
      </c>
      <c r="O127">
        <v>7</v>
      </c>
      <c r="P127">
        <f t="shared" si="21"/>
        <v>0</v>
      </c>
      <c r="Q127">
        <v>2</v>
      </c>
      <c r="R127" t="e">
        <f t="shared" si="22"/>
        <v>#DIV/0!</v>
      </c>
      <c r="S127">
        <v>17</v>
      </c>
      <c r="T127">
        <v>10</v>
      </c>
      <c r="V127">
        <f t="shared" si="23"/>
        <v>0</v>
      </c>
      <c r="W127">
        <f t="shared" si="24"/>
        <v>17</v>
      </c>
      <c r="Y127">
        <v>8</v>
      </c>
      <c r="Z127">
        <v>4</v>
      </c>
      <c r="AD127">
        <f t="shared" si="25"/>
        <v>0</v>
      </c>
      <c r="AE127">
        <f t="shared" si="26"/>
        <v>0</v>
      </c>
      <c r="AH127">
        <v>0</v>
      </c>
      <c r="AI127">
        <v>0</v>
      </c>
    </row>
    <row r="128" spans="1:35">
      <c r="A128">
        <v>10775</v>
      </c>
      <c r="B128" s="2">
        <v>46022</v>
      </c>
      <c r="C128" s="1">
        <v>6</v>
      </c>
      <c r="D128" s="1" t="s">
        <v>35</v>
      </c>
      <c r="E128" s="1" t="s">
        <v>36</v>
      </c>
      <c r="F128" s="1">
        <v>10776</v>
      </c>
      <c r="G128" s="1" t="s">
        <v>63</v>
      </c>
      <c r="H128" s="1" t="s">
        <v>63</v>
      </c>
      <c r="I128" s="1">
        <v>34</v>
      </c>
      <c r="J128" s="1" t="s">
        <v>370</v>
      </c>
      <c r="K128" s="1" t="e">
        <v>#N/A</v>
      </c>
      <c r="L128" s="1" t="s">
        <v>371</v>
      </c>
      <c r="P128">
        <f t="shared" si="21"/>
        <v>0</v>
      </c>
      <c r="R128" t="e">
        <f t="shared" si="22"/>
        <v>#DIV/0!</v>
      </c>
      <c r="V128">
        <f t="shared" si="23"/>
        <v>0</v>
      </c>
      <c r="W128">
        <f t="shared" si="24"/>
        <v>0</v>
      </c>
      <c r="AD128">
        <f t="shared" si="25"/>
        <v>0</v>
      </c>
      <c r="AE128">
        <f t="shared" si="26"/>
        <v>0</v>
      </c>
    </row>
    <row r="129" spans="1:35">
      <c r="A129">
        <v>10502</v>
      </c>
      <c r="B129" s="2">
        <v>46022</v>
      </c>
      <c r="C129" s="1">
        <v>6</v>
      </c>
      <c r="D129" s="1" t="s">
        <v>35</v>
      </c>
      <c r="E129" s="1" t="s">
        <v>36</v>
      </c>
      <c r="F129" s="1">
        <v>10503</v>
      </c>
      <c r="G129" s="1" t="s">
        <v>63</v>
      </c>
      <c r="H129" s="1" t="s">
        <v>63</v>
      </c>
      <c r="I129" s="1">
        <v>34</v>
      </c>
      <c r="J129" s="1" t="s">
        <v>203</v>
      </c>
      <c r="K129" s="1" t="e">
        <v>#N/A</v>
      </c>
      <c r="L129" s="1" t="s">
        <v>204</v>
      </c>
      <c r="P129">
        <f t="shared" si="21"/>
        <v>0</v>
      </c>
      <c r="R129" t="e">
        <f t="shared" si="22"/>
        <v>#DIV/0!</v>
      </c>
      <c r="V129">
        <f t="shared" si="23"/>
        <v>0</v>
      </c>
      <c r="W129">
        <f t="shared" si="24"/>
        <v>0</v>
      </c>
      <c r="AD129">
        <f t="shared" si="25"/>
        <v>0</v>
      </c>
      <c r="AE129">
        <f t="shared" si="26"/>
        <v>0</v>
      </c>
    </row>
    <row r="130" spans="1:35">
      <c r="A130">
        <v>10776</v>
      </c>
      <c r="B130" s="2">
        <v>46022</v>
      </c>
      <c r="C130" s="1">
        <v>6</v>
      </c>
      <c r="D130" s="1" t="s">
        <v>35</v>
      </c>
      <c r="E130" s="1" t="s">
        <v>36</v>
      </c>
      <c r="F130" s="1">
        <v>10777</v>
      </c>
      <c r="G130" s="1" t="s">
        <v>63</v>
      </c>
      <c r="H130" s="1" t="s">
        <v>63</v>
      </c>
      <c r="I130" s="1">
        <v>34</v>
      </c>
      <c r="J130" s="1" t="s">
        <v>372</v>
      </c>
      <c r="K130" s="1" t="e">
        <v>#N/A</v>
      </c>
      <c r="L130" s="1" t="s">
        <v>373</v>
      </c>
      <c r="P130">
        <f t="shared" si="21"/>
        <v>0</v>
      </c>
      <c r="R130" t="e">
        <f t="shared" si="22"/>
        <v>#DIV/0!</v>
      </c>
      <c r="V130">
        <f t="shared" si="23"/>
        <v>0</v>
      </c>
      <c r="W130">
        <f t="shared" si="24"/>
        <v>0</v>
      </c>
      <c r="AD130">
        <f t="shared" si="25"/>
        <v>0</v>
      </c>
      <c r="AE130">
        <f t="shared" si="26"/>
        <v>0</v>
      </c>
    </row>
    <row r="131" spans="1:35">
      <c r="A131">
        <v>10510</v>
      </c>
      <c r="B131" s="2">
        <v>46022</v>
      </c>
      <c r="C131" s="1">
        <v>6</v>
      </c>
      <c r="D131" s="1" t="s">
        <v>35</v>
      </c>
      <c r="E131" s="1" t="s">
        <v>36</v>
      </c>
      <c r="F131" s="1">
        <v>10511</v>
      </c>
      <c r="G131" s="1" t="s">
        <v>63</v>
      </c>
      <c r="H131" s="1" t="s">
        <v>63</v>
      </c>
      <c r="I131" s="1">
        <v>34</v>
      </c>
      <c r="J131" s="1" t="s">
        <v>207</v>
      </c>
      <c r="K131" s="1" t="e">
        <v>#N/A</v>
      </c>
      <c r="L131" s="1" t="s">
        <v>208</v>
      </c>
      <c r="P131">
        <f t="shared" si="21"/>
        <v>0</v>
      </c>
      <c r="R131" t="e">
        <f t="shared" si="22"/>
        <v>#DIV/0!</v>
      </c>
      <c r="V131">
        <f t="shared" si="23"/>
        <v>0</v>
      </c>
      <c r="W131">
        <f t="shared" si="24"/>
        <v>0</v>
      </c>
      <c r="AD131">
        <f t="shared" si="25"/>
        <v>0</v>
      </c>
      <c r="AE131">
        <f t="shared" si="26"/>
        <v>0</v>
      </c>
    </row>
    <row r="132" spans="1:35">
      <c r="A132">
        <v>10323</v>
      </c>
      <c r="B132" s="2">
        <v>46022</v>
      </c>
      <c r="C132" s="1">
        <v>6</v>
      </c>
      <c r="D132" s="1" t="s">
        <v>35</v>
      </c>
      <c r="E132" s="1" t="s">
        <v>36</v>
      </c>
      <c r="F132" s="1">
        <v>10324</v>
      </c>
      <c r="G132" s="1" t="s">
        <v>63</v>
      </c>
      <c r="H132" s="1" t="s">
        <v>63</v>
      </c>
      <c r="I132" s="1">
        <v>34</v>
      </c>
      <c r="J132" s="1" t="s">
        <v>115</v>
      </c>
      <c r="K132" s="1" t="e">
        <v>#N/A</v>
      </c>
      <c r="L132" s="1" t="s">
        <v>116</v>
      </c>
      <c r="P132">
        <f t="shared" si="21"/>
        <v>0</v>
      </c>
      <c r="R132" t="e">
        <f t="shared" si="22"/>
        <v>#DIV/0!</v>
      </c>
      <c r="V132">
        <f t="shared" si="23"/>
        <v>0</v>
      </c>
      <c r="W132">
        <f t="shared" si="24"/>
        <v>0</v>
      </c>
      <c r="AD132">
        <f t="shared" si="25"/>
        <v>0</v>
      </c>
      <c r="AE132">
        <f t="shared" si="26"/>
        <v>0</v>
      </c>
    </row>
    <row r="133" spans="1:35">
      <c r="A133">
        <v>10777</v>
      </c>
      <c r="B133" s="2">
        <v>46022</v>
      </c>
      <c r="C133" s="1">
        <v>6</v>
      </c>
      <c r="D133" s="1" t="s">
        <v>35</v>
      </c>
      <c r="E133" s="1" t="s">
        <v>36</v>
      </c>
      <c r="F133" s="1">
        <v>10778</v>
      </c>
      <c r="G133" s="1" t="s">
        <v>63</v>
      </c>
      <c r="H133" s="1" t="s">
        <v>63</v>
      </c>
      <c r="I133" s="1">
        <v>34</v>
      </c>
      <c r="J133" s="1" t="s">
        <v>374</v>
      </c>
      <c r="K133" s="1" t="e">
        <v>#N/A</v>
      </c>
      <c r="L133" s="1" t="s">
        <v>375</v>
      </c>
      <c r="P133">
        <f t="shared" si="21"/>
        <v>0</v>
      </c>
      <c r="R133" t="e">
        <f t="shared" si="22"/>
        <v>#DIV/0!</v>
      </c>
      <c r="V133">
        <f t="shared" si="23"/>
        <v>0</v>
      </c>
      <c r="W133">
        <f t="shared" si="24"/>
        <v>0</v>
      </c>
      <c r="AD133">
        <f t="shared" si="25"/>
        <v>0</v>
      </c>
      <c r="AE133">
        <f t="shared" si="26"/>
        <v>0</v>
      </c>
    </row>
    <row r="134" spans="1:35">
      <c r="A134">
        <v>10809</v>
      </c>
      <c r="B134" s="2">
        <v>46022</v>
      </c>
      <c r="C134" s="1">
        <v>6</v>
      </c>
      <c r="D134" s="1" t="s">
        <v>35</v>
      </c>
      <c r="E134" s="1" t="s">
        <v>36</v>
      </c>
      <c r="F134" s="1">
        <v>10810</v>
      </c>
      <c r="G134" s="1" t="s">
        <v>63</v>
      </c>
      <c r="H134" s="1" t="s">
        <v>63</v>
      </c>
      <c r="I134" s="1">
        <v>34</v>
      </c>
      <c r="J134" s="1" t="s">
        <v>416</v>
      </c>
      <c r="K134" s="1">
        <v>14055</v>
      </c>
      <c r="L134" s="1" t="s">
        <v>337</v>
      </c>
      <c r="P134">
        <f t="shared" si="21"/>
        <v>0</v>
      </c>
      <c r="R134" t="e">
        <f t="shared" si="22"/>
        <v>#DIV/0!</v>
      </c>
      <c r="V134">
        <f t="shared" si="23"/>
        <v>0</v>
      </c>
      <c r="W134">
        <f t="shared" si="24"/>
        <v>0</v>
      </c>
      <c r="AD134">
        <f t="shared" si="25"/>
        <v>0</v>
      </c>
      <c r="AE134">
        <f t="shared" si="26"/>
        <v>0</v>
      </c>
    </row>
    <row r="135" spans="1:35">
      <c r="A135">
        <v>10123</v>
      </c>
      <c r="B135" s="2">
        <v>46022</v>
      </c>
      <c r="C135" s="1">
        <v>6</v>
      </c>
      <c r="D135" s="1" t="s">
        <v>35</v>
      </c>
      <c r="E135" s="1" t="s">
        <v>36</v>
      </c>
      <c r="F135" s="1">
        <v>10124</v>
      </c>
      <c r="G135" s="1" t="s">
        <v>63</v>
      </c>
      <c r="H135" s="1" t="s">
        <v>63</v>
      </c>
      <c r="I135" s="1">
        <v>34</v>
      </c>
      <c r="J135" s="1" t="s">
        <v>64</v>
      </c>
      <c r="K135" s="1" t="e">
        <v>#N/A</v>
      </c>
      <c r="L135" s="1" t="s">
        <v>65</v>
      </c>
      <c r="P135">
        <f t="shared" si="21"/>
        <v>1</v>
      </c>
      <c r="R135">
        <f t="shared" si="22"/>
        <v>0</v>
      </c>
      <c r="V135">
        <f t="shared" si="23"/>
        <v>0</v>
      </c>
      <c r="W135">
        <f t="shared" si="24"/>
        <v>0</v>
      </c>
      <c r="AD135">
        <f t="shared" si="25"/>
        <v>0</v>
      </c>
      <c r="AE135">
        <f t="shared" si="26"/>
        <v>0</v>
      </c>
    </row>
    <row r="136" spans="1:35">
      <c r="A136">
        <v>10336</v>
      </c>
      <c r="B136" s="2">
        <v>46022</v>
      </c>
      <c r="C136" s="1">
        <v>6</v>
      </c>
      <c r="D136" s="1" t="s">
        <v>35</v>
      </c>
      <c r="E136" s="1" t="s">
        <v>36</v>
      </c>
      <c r="F136" s="1">
        <v>10337</v>
      </c>
      <c r="G136" s="1" t="s">
        <v>63</v>
      </c>
      <c r="H136" s="1" t="s">
        <v>63</v>
      </c>
      <c r="I136" s="1">
        <v>34</v>
      </c>
      <c r="J136" s="1" t="s">
        <v>127</v>
      </c>
      <c r="K136" s="1">
        <v>15185</v>
      </c>
      <c r="L136" s="1" t="s">
        <v>128</v>
      </c>
      <c r="M136">
        <v>2</v>
      </c>
      <c r="N136" s="1">
        <v>0</v>
      </c>
      <c r="O136" s="1">
        <v>1</v>
      </c>
      <c r="P136">
        <f t="shared" si="21"/>
        <v>0</v>
      </c>
      <c r="R136" t="e">
        <f t="shared" si="22"/>
        <v>#DIV/0!</v>
      </c>
      <c r="S136">
        <v>2</v>
      </c>
      <c r="T136">
        <v>0</v>
      </c>
      <c r="V136">
        <f t="shared" si="23"/>
        <v>0</v>
      </c>
      <c r="W136">
        <f t="shared" si="24"/>
        <v>2</v>
      </c>
      <c r="Y136">
        <v>0</v>
      </c>
      <c r="Z136">
        <v>1</v>
      </c>
      <c r="AD136">
        <f t="shared" si="25"/>
        <v>0</v>
      </c>
      <c r="AE136">
        <f t="shared" si="26"/>
        <v>0</v>
      </c>
      <c r="AH136">
        <v>0</v>
      </c>
      <c r="AI136">
        <v>0</v>
      </c>
    </row>
    <row r="137" spans="1:35">
      <c r="A137">
        <v>10547</v>
      </c>
      <c r="B137" s="2">
        <v>46022</v>
      </c>
      <c r="C137" s="1">
        <v>6</v>
      </c>
      <c r="D137" s="1" t="s">
        <v>35</v>
      </c>
      <c r="E137" s="1" t="s">
        <v>36</v>
      </c>
      <c r="F137" s="1">
        <v>10548</v>
      </c>
      <c r="G137" s="1" t="s">
        <v>63</v>
      </c>
      <c r="H137" s="1" t="s">
        <v>63</v>
      </c>
      <c r="I137" s="1">
        <v>34</v>
      </c>
      <c r="J137" s="1" t="s">
        <v>225</v>
      </c>
      <c r="K137" s="1" t="e">
        <v>#N/A</v>
      </c>
      <c r="L137" s="1" t="s">
        <v>226</v>
      </c>
      <c r="P137">
        <f t="shared" si="21"/>
        <v>0</v>
      </c>
      <c r="R137" t="e">
        <f t="shared" si="22"/>
        <v>#DIV/0!</v>
      </c>
      <c r="V137">
        <f t="shared" si="23"/>
        <v>0</v>
      </c>
      <c r="W137">
        <f t="shared" si="24"/>
        <v>0</v>
      </c>
      <c r="AD137">
        <f t="shared" si="25"/>
        <v>0</v>
      </c>
      <c r="AE137">
        <f t="shared" si="26"/>
        <v>0</v>
      </c>
    </row>
    <row r="138" spans="1:35">
      <c r="A138">
        <v>10778</v>
      </c>
      <c r="B138" s="2">
        <v>46022</v>
      </c>
      <c r="C138" s="1">
        <v>6</v>
      </c>
      <c r="D138" s="1" t="s">
        <v>35</v>
      </c>
      <c r="E138" s="1" t="s">
        <v>36</v>
      </c>
      <c r="F138" s="1">
        <v>10779</v>
      </c>
      <c r="G138" s="1" t="s">
        <v>63</v>
      </c>
      <c r="H138" s="1" t="s">
        <v>63</v>
      </c>
      <c r="I138" s="1">
        <v>34</v>
      </c>
      <c r="J138" s="1" t="s">
        <v>376</v>
      </c>
      <c r="K138" s="1" t="e">
        <v>#N/A</v>
      </c>
      <c r="L138" s="1" t="s">
        <v>377</v>
      </c>
      <c r="P138">
        <f t="shared" si="21"/>
        <v>8</v>
      </c>
      <c r="R138">
        <f t="shared" si="22"/>
        <v>0</v>
      </c>
      <c r="V138">
        <f t="shared" si="23"/>
        <v>0</v>
      </c>
      <c r="W138">
        <f t="shared" si="24"/>
        <v>0</v>
      </c>
      <c r="AD138">
        <f t="shared" si="25"/>
        <v>0</v>
      </c>
      <c r="AE138">
        <f t="shared" si="26"/>
        <v>0</v>
      </c>
    </row>
    <row r="139" spans="1:35" ht="14.25" customHeight="1">
      <c r="A139">
        <v>10308</v>
      </c>
      <c r="B139" s="2">
        <v>46022</v>
      </c>
      <c r="C139" s="1">
        <v>6</v>
      </c>
      <c r="D139" s="1" t="s">
        <v>35</v>
      </c>
      <c r="E139" s="1" t="s">
        <v>36</v>
      </c>
      <c r="F139" s="1">
        <v>10309</v>
      </c>
      <c r="G139" s="1" t="s">
        <v>63</v>
      </c>
      <c r="H139" s="1" t="s">
        <v>63</v>
      </c>
      <c r="I139" s="1">
        <v>34</v>
      </c>
      <c r="J139" s="1" t="s">
        <v>95</v>
      </c>
      <c r="K139" s="1" t="e">
        <v>#N/A</v>
      </c>
      <c r="L139" s="1" t="s">
        <v>96</v>
      </c>
      <c r="M139">
        <v>4</v>
      </c>
      <c r="N139">
        <v>3</v>
      </c>
      <c r="O139">
        <v>5</v>
      </c>
      <c r="P139">
        <f t="shared" si="21"/>
        <v>0</v>
      </c>
      <c r="Q139">
        <v>2</v>
      </c>
      <c r="R139" t="e">
        <f t="shared" si="22"/>
        <v>#DIV/0!</v>
      </c>
      <c r="S139">
        <v>18</v>
      </c>
      <c r="T139">
        <v>12</v>
      </c>
      <c r="V139">
        <f t="shared" si="23"/>
        <v>0</v>
      </c>
      <c r="W139">
        <f t="shared" si="24"/>
        <v>18</v>
      </c>
      <c r="Y139">
        <v>6</v>
      </c>
      <c r="Z139">
        <v>4</v>
      </c>
      <c r="AD139">
        <f t="shared" si="25"/>
        <v>0</v>
      </c>
      <c r="AE139">
        <f t="shared" si="26"/>
        <v>0</v>
      </c>
      <c r="AH139">
        <v>0</v>
      </c>
      <c r="AI139">
        <v>0</v>
      </c>
    </row>
    <row r="140" spans="1:35" ht="15" customHeight="1">
      <c r="A140">
        <v>10779</v>
      </c>
      <c r="B140" s="2">
        <v>46022</v>
      </c>
      <c r="C140" s="1">
        <v>6</v>
      </c>
      <c r="D140" s="1" t="s">
        <v>35</v>
      </c>
      <c r="E140" s="1" t="s">
        <v>36</v>
      </c>
      <c r="F140" s="1">
        <v>10780</v>
      </c>
      <c r="G140" s="1" t="s">
        <v>63</v>
      </c>
      <c r="H140" s="1" t="s">
        <v>63</v>
      </c>
      <c r="I140" s="1">
        <v>34</v>
      </c>
      <c r="J140" s="1" t="s">
        <v>378</v>
      </c>
      <c r="K140" s="1" t="e">
        <v>#N/A</v>
      </c>
      <c r="L140" s="1" t="s">
        <v>379</v>
      </c>
      <c r="P140">
        <f t="shared" si="21"/>
        <v>0</v>
      </c>
      <c r="R140" t="e">
        <f t="shared" si="22"/>
        <v>#DIV/0!</v>
      </c>
      <c r="V140">
        <f t="shared" si="23"/>
        <v>0</v>
      </c>
      <c r="W140">
        <f t="shared" si="24"/>
        <v>0</v>
      </c>
      <c r="AD140">
        <f t="shared" si="25"/>
        <v>0</v>
      </c>
      <c r="AE140">
        <f t="shared" si="26"/>
        <v>0</v>
      </c>
    </row>
    <row r="141" spans="1:35">
      <c r="A141">
        <v>10293</v>
      </c>
      <c r="B141" s="2">
        <v>46022</v>
      </c>
      <c r="C141" s="1">
        <v>6</v>
      </c>
      <c r="D141" s="1" t="s">
        <v>35</v>
      </c>
      <c r="E141" s="1" t="s">
        <v>36</v>
      </c>
      <c r="F141" s="1">
        <v>10294</v>
      </c>
      <c r="G141" s="1" t="s">
        <v>63</v>
      </c>
      <c r="H141" s="1" t="s">
        <v>63</v>
      </c>
      <c r="I141" s="1">
        <v>34</v>
      </c>
      <c r="J141" s="1" t="s">
        <v>79</v>
      </c>
      <c r="K141" s="1" t="e">
        <v>#N/A</v>
      </c>
      <c r="L141" s="1" t="s">
        <v>80</v>
      </c>
      <c r="P141">
        <f t="shared" si="21"/>
        <v>0</v>
      </c>
      <c r="R141" t="e">
        <f t="shared" si="22"/>
        <v>#DIV/0!</v>
      </c>
      <c r="V141">
        <f t="shared" si="23"/>
        <v>0</v>
      </c>
      <c r="W141">
        <f t="shared" si="24"/>
        <v>0</v>
      </c>
      <c r="AD141">
        <f t="shared" si="25"/>
        <v>0</v>
      </c>
      <c r="AE141">
        <f t="shared" si="26"/>
        <v>0</v>
      </c>
    </row>
    <row r="142" spans="1:35">
      <c r="A142">
        <v>10546</v>
      </c>
      <c r="B142" s="2">
        <v>46022</v>
      </c>
      <c r="C142" s="1">
        <v>6</v>
      </c>
      <c r="D142" s="1" t="s">
        <v>35</v>
      </c>
      <c r="E142" s="1" t="s">
        <v>36</v>
      </c>
      <c r="F142" s="1">
        <v>10547</v>
      </c>
      <c r="G142" s="1" t="s">
        <v>63</v>
      </c>
      <c r="H142" s="1" t="s">
        <v>63</v>
      </c>
      <c r="I142" s="1">
        <v>34</v>
      </c>
      <c r="J142" s="1" t="s">
        <v>223</v>
      </c>
      <c r="K142" s="1" t="e">
        <v>#N/A</v>
      </c>
      <c r="L142" s="1" t="s">
        <v>224</v>
      </c>
      <c r="P142">
        <f t="shared" si="21"/>
        <v>7</v>
      </c>
      <c r="R142">
        <f t="shared" si="22"/>
        <v>0</v>
      </c>
      <c r="V142">
        <f t="shared" si="23"/>
        <v>0</v>
      </c>
      <c r="W142">
        <f t="shared" si="24"/>
        <v>0</v>
      </c>
      <c r="AD142">
        <f t="shared" si="25"/>
        <v>0</v>
      </c>
      <c r="AE142">
        <f t="shared" si="26"/>
        <v>0</v>
      </c>
    </row>
    <row r="143" spans="1:35">
      <c r="A143">
        <v>10780</v>
      </c>
      <c r="B143" s="2">
        <v>46022</v>
      </c>
      <c r="C143" s="1">
        <v>6</v>
      </c>
      <c r="D143" s="1" t="s">
        <v>35</v>
      </c>
      <c r="E143" s="1" t="s">
        <v>36</v>
      </c>
      <c r="F143" s="1">
        <v>10781</v>
      </c>
      <c r="G143" s="1" t="s">
        <v>63</v>
      </c>
      <c r="H143" s="1" t="s">
        <v>63</v>
      </c>
      <c r="I143" s="1">
        <v>34</v>
      </c>
      <c r="J143" s="1" t="s">
        <v>380</v>
      </c>
      <c r="K143" s="1" t="e">
        <v>#N/A</v>
      </c>
      <c r="L143" s="1" t="s">
        <v>381</v>
      </c>
      <c r="M143" s="1">
        <v>13</v>
      </c>
      <c r="N143">
        <v>7</v>
      </c>
      <c r="O143">
        <v>0</v>
      </c>
      <c r="P143">
        <f t="shared" si="21"/>
        <v>12</v>
      </c>
      <c r="Q143">
        <v>1</v>
      </c>
      <c r="R143">
        <f t="shared" si="22"/>
        <v>1.25</v>
      </c>
      <c r="S143">
        <v>15</v>
      </c>
      <c r="T143">
        <v>0</v>
      </c>
      <c r="V143">
        <f t="shared" si="23"/>
        <v>0</v>
      </c>
      <c r="W143">
        <f t="shared" si="24"/>
        <v>15</v>
      </c>
      <c r="Y143">
        <v>2</v>
      </c>
      <c r="Z143">
        <v>6</v>
      </c>
      <c r="AD143">
        <f t="shared" si="25"/>
        <v>0</v>
      </c>
      <c r="AE143">
        <f t="shared" si="26"/>
        <v>0</v>
      </c>
      <c r="AH143">
        <v>0</v>
      </c>
      <c r="AI143">
        <v>0</v>
      </c>
    </row>
    <row r="144" spans="1:35">
      <c r="A144">
        <v>10090</v>
      </c>
      <c r="B144" s="2">
        <v>46022</v>
      </c>
      <c r="C144" s="1">
        <v>6</v>
      </c>
      <c r="D144" s="1" t="s">
        <v>35</v>
      </c>
      <c r="E144" s="1" t="s">
        <v>36</v>
      </c>
      <c r="F144" s="1">
        <v>10091</v>
      </c>
      <c r="G144" s="1" t="s">
        <v>54</v>
      </c>
      <c r="H144" s="1" t="s">
        <v>55</v>
      </c>
      <c r="I144" s="1">
        <v>39</v>
      </c>
      <c r="J144" s="1" t="s">
        <v>56</v>
      </c>
      <c r="K144" s="1" t="e">
        <v>#N/A</v>
      </c>
      <c r="L144" s="1" t="s">
        <v>40</v>
      </c>
      <c r="M144">
        <v>31</v>
      </c>
      <c r="N144">
        <v>4</v>
      </c>
      <c r="O144">
        <v>8</v>
      </c>
      <c r="P144">
        <f t="shared" ref="P144:P195" si="27">SUM(N145:O145)</f>
        <v>13</v>
      </c>
      <c r="Q144">
        <v>3</v>
      </c>
      <c r="R144">
        <f t="shared" ref="R144:R195" si="28">S144/P144</f>
        <v>25.923076923076923</v>
      </c>
      <c r="S144">
        <v>337</v>
      </c>
      <c r="T144">
        <v>221</v>
      </c>
      <c r="V144">
        <f t="shared" ref="V144:V195" si="29">ROUND(SUM(U144*T144)/100,0)</f>
        <v>0</v>
      </c>
      <c r="W144">
        <f t="shared" ref="W144:W195" si="30">ROUND(SUM(S144-V144),0)</f>
        <v>337</v>
      </c>
      <c r="Y144">
        <v>31</v>
      </c>
      <c r="Z144">
        <v>31</v>
      </c>
      <c r="AD144">
        <f t="shared" ref="AD144:AD184" si="31">SUM(V144/100)</f>
        <v>0</v>
      </c>
      <c r="AE144">
        <f t="shared" ref="AE144:AE195" si="32">ROUND(SUM(P144*AD144),0)</f>
        <v>0</v>
      </c>
      <c r="AH144">
        <v>0</v>
      </c>
      <c r="AI144">
        <v>0</v>
      </c>
    </row>
    <row r="145" spans="1:35">
      <c r="A145">
        <v>10440</v>
      </c>
      <c r="B145" s="2">
        <v>46022</v>
      </c>
      <c r="C145" s="1">
        <v>6</v>
      </c>
      <c r="D145" s="1" t="s">
        <v>35</v>
      </c>
      <c r="E145" s="1" t="s">
        <v>36</v>
      </c>
      <c r="F145" s="1">
        <v>10441</v>
      </c>
      <c r="G145" s="1" t="s">
        <v>54</v>
      </c>
      <c r="H145" s="1" t="s">
        <v>55</v>
      </c>
      <c r="I145" s="1">
        <v>39</v>
      </c>
      <c r="J145" s="1" t="s">
        <v>167</v>
      </c>
      <c r="K145" s="1" t="e">
        <v>#N/A</v>
      </c>
      <c r="L145" s="1" t="s">
        <v>168</v>
      </c>
      <c r="M145">
        <v>8</v>
      </c>
      <c r="N145">
        <v>7</v>
      </c>
      <c r="O145">
        <v>6</v>
      </c>
      <c r="P145">
        <f t="shared" si="27"/>
        <v>10</v>
      </c>
      <c r="Q145">
        <v>3</v>
      </c>
      <c r="R145">
        <f t="shared" si="28"/>
        <v>10.199999999999999</v>
      </c>
      <c r="S145">
        <v>102</v>
      </c>
      <c r="T145">
        <v>20</v>
      </c>
      <c r="V145">
        <f t="shared" si="29"/>
        <v>0</v>
      </c>
      <c r="W145">
        <f t="shared" si="30"/>
        <v>102</v>
      </c>
      <c r="Y145">
        <v>3</v>
      </c>
      <c r="Z145">
        <v>4</v>
      </c>
      <c r="AD145">
        <f t="shared" si="31"/>
        <v>0</v>
      </c>
      <c r="AE145">
        <f t="shared" si="32"/>
        <v>0</v>
      </c>
      <c r="AH145">
        <v>0</v>
      </c>
      <c r="AI145">
        <v>0</v>
      </c>
    </row>
    <row r="146" spans="1:35">
      <c r="A146">
        <v>10452</v>
      </c>
      <c r="B146" s="2">
        <v>46022</v>
      </c>
      <c r="C146" s="1">
        <v>6</v>
      </c>
      <c r="D146" s="1" t="s">
        <v>35</v>
      </c>
      <c r="E146" s="1" t="s">
        <v>36</v>
      </c>
      <c r="F146" s="1">
        <v>10453</v>
      </c>
      <c r="G146" s="1" t="s">
        <v>54</v>
      </c>
      <c r="H146" s="1" t="s">
        <v>55</v>
      </c>
      <c r="I146" s="1">
        <v>39</v>
      </c>
      <c r="J146" s="1" t="s">
        <v>182</v>
      </c>
      <c r="K146" s="1" t="e">
        <v>#N/A</v>
      </c>
      <c r="L146" s="1" t="s">
        <v>183</v>
      </c>
      <c r="M146">
        <v>15</v>
      </c>
      <c r="N146">
        <v>6</v>
      </c>
      <c r="O146">
        <v>4</v>
      </c>
      <c r="P146">
        <f t="shared" si="27"/>
        <v>0</v>
      </c>
      <c r="Q146">
        <v>3</v>
      </c>
      <c r="R146" t="e">
        <f t="shared" si="28"/>
        <v>#DIV/0!</v>
      </c>
      <c r="S146">
        <v>50</v>
      </c>
      <c r="T146">
        <v>25</v>
      </c>
      <c r="V146">
        <f t="shared" si="29"/>
        <v>0</v>
      </c>
      <c r="W146">
        <f t="shared" si="30"/>
        <v>50</v>
      </c>
      <c r="Y146">
        <v>4</v>
      </c>
      <c r="Z146">
        <v>4</v>
      </c>
      <c r="AD146">
        <f t="shared" si="31"/>
        <v>0</v>
      </c>
      <c r="AE146">
        <f t="shared" si="32"/>
        <v>0</v>
      </c>
      <c r="AH146">
        <v>0</v>
      </c>
      <c r="AI146">
        <v>0</v>
      </c>
    </row>
    <row r="147" spans="1:35">
      <c r="A147">
        <v>10460</v>
      </c>
      <c r="B147" s="2">
        <v>46022</v>
      </c>
      <c r="C147" s="1">
        <v>6</v>
      </c>
      <c r="D147" s="1" t="s">
        <v>35</v>
      </c>
      <c r="E147" s="1" t="s">
        <v>36</v>
      </c>
      <c r="F147" s="1">
        <v>10461</v>
      </c>
      <c r="G147" s="1" t="s">
        <v>54</v>
      </c>
      <c r="H147" s="1" t="s">
        <v>55</v>
      </c>
      <c r="I147" s="1">
        <v>39</v>
      </c>
      <c r="J147" s="1" t="s">
        <v>189</v>
      </c>
      <c r="K147" s="1" t="e">
        <v>#N/A</v>
      </c>
      <c r="L147" s="1" t="s">
        <v>190</v>
      </c>
      <c r="P147">
        <f t="shared" si="27"/>
        <v>0</v>
      </c>
      <c r="R147" t="e">
        <f t="shared" si="28"/>
        <v>#DIV/0!</v>
      </c>
      <c r="V147">
        <f t="shared" si="29"/>
        <v>0</v>
      </c>
      <c r="W147">
        <f t="shared" si="30"/>
        <v>0</v>
      </c>
      <c r="AD147">
        <f t="shared" si="31"/>
        <v>0</v>
      </c>
      <c r="AE147">
        <f t="shared" si="32"/>
        <v>0</v>
      </c>
    </row>
    <row r="148" spans="1:35">
      <c r="A148">
        <v>10781</v>
      </c>
      <c r="B148" s="2">
        <v>46022</v>
      </c>
      <c r="C148" s="1">
        <v>6</v>
      </c>
      <c r="D148" s="1" t="s">
        <v>35</v>
      </c>
      <c r="E148" s="1" t="s">
        <v>36</v>
      </c>
      <c r="F148" s="1">
        <v>10782</v>
      </c>
      <c r="G148" s="1" t="s">
        <v>54</v>
      </c>
      <c r="H148" s="1" t="s">
        <v>55</v>
      </c>
      <c r="I148" s="1">
        <v>39</v>
      </c>
      <c r="J148" s="1" t="s">
        <v>382</v>
      </c>
      <c r="K148" s="1" t="e">
        <v>#N/A</v>
      </c>
      <c r="L148" s="1" t="s">
        <v>383</v>
      </c>
      <c r="P148">
        <f t="shared" si="27"/>
        <v>0</v>
      </c>
      <c r="R148" t="e">
        <f t="shared" si="28"/>
        <v>#DIV/0!</v>
      </c>
      <c r="V148">
        <f t="shared" si="29"/>
        <v>0</v>
      </c>
      <c r="W148">
        <f t="shared" si="30"/>
        <v>0</v>
      </c>
      <c r="AD148">
        <f t="shared" si="31"/>
        <v>0</v>
      </c>
      <c r="AE148">
        <f t="shared" si="32"/>
        <v>0</v>
      </c>
    </row>
    <row r="149" spans="1:35">
      <c r="A149">
        <v>10782</v>
      </c>
      <c r="B149" s="2">
        <v>46022</v>
      </c>
      <c r="C149" s="1">
        <v>6</v>
      </c>
      <c r="D149" s="1" t="s">
        <v>35</v>
      </c>
      <c r="E149" s="1" t="s">
        <v>36</v>
      </c>
      <c r="F149" s="1">
        <v>10783</v>
      </c>
      <c r="G149" s="1" t="s">
        <v>54</v>
      </c>
      <c r="H149" s="1" t="s">
        <v>55</v>
      </c>
      <c r="I149" s="1">
        <v>39</v>
      </c>
      <c r="J149" s="1" t="s">
        <v>384</v>
      </c>
      <c r="K149" s="1" t="e">
        <v>#N/A</v>
      </c>
      <c r="L149" s="1" t="s">
        <v>385</v>
      </c>
      <c r="P149">
        <f t="shared" si="27"/>
        <v>0</v>
      </c>
      <c r="R149" t="e">
        <f t="shared" si="28"/>
        <v>#DIV/0!</v>
      </c>
      <c r="V149">
        <f t="shared" si="29"/>
        <v>0</v>
      </c>
      <c r="W149">
        <f t="shared" si="30"/>
        <v>0</v>
      </c>
      <c r="AD149">
        <f t="shared" si="31"/>
        <v>0</v>
      </c>
      <c r="AE149">
        <f t="shared" si="32"/>
        <v>0</v>
      </c>
    </row>
    <row r="150" spans="1:35">
      <c r="A150">
        <v>10783</v>
      </c>
      <c r="B150" s="2">
        <v>46022</v>
      </c>
      <c r="C150" s="1">
        <v>6</v>
      </c>
      <c r="D150" s="1" t="s">
        <v>35</v>
      </c>
      <c r="E150" s="1" t="s">
        <v>36</v>
      </c>
      <c r="F150" s="1">
        <v>10784</v>
      </c>
      <c r="G150" s="1" t="s">
        <v>54</v>
      </c>
      <c r="H150" s="1" t="s">
        <v>55</v>
      </c>
      <c r="I150" s="1">
        <v>39</v>
      </c>
      <c r="J150" s="1" t="s">
        <v>386</v>
      </c>
      <c r="K150" s="1" t="e">
        <v>#N/A</v>
      </c>
      <c r="L150" s="1" t="s">
        <v>387</v>
      </c>
      <c r="P150">
        <f t="shared" si="27"/>
        <v>0</v>
      </c>
      <c r="R150" t="e">
        <f t="shared" si="28"/>
        <v>#DIV/0!</v>
      </c>
      <c r="V150">
        <f t="shared" si="29"/>
        <v>0</v>
      </c>
      <c r="W150">
        <f t="shared" si="30"/>
        <v>0</v>
      </c>
      <c r="AD150">
        <f t="shared" si="31"/>
        <v>0</v>
      </c>
      <c r="AE150">
        <f t="shared" si="32"/>
        <v>0</v>
      </c>
    </row>
    <row r="151" spans="1:35">
      <c r="A151">
        <v>10784</v>
      </c>
      <c r="B151" s="2">
        <v>46022</v>
      </c>
      <c r="C151" s="1">
        <v>6</v>
      </c>
      <c r="D151" s="1" t="s">
        <v>35</v>
      </c>
      <c r="E151" s="1" t="s">
        <v>36</v>
      </c>
      <c r="F151" s="1">
        <v>10785</v>
      </c>
      <c r="G151" s="1" t="s">
        <v>54</v>
      </c>
      <c r="H151" s="1" t="s">
        <v>55</v>
      </c>
      <c r="I151" s="1">
        <v>39</v>
      </c>
      <c r="J151" s="1" t="s">
        <v>388</v>
      </c>
      <c r="K151" s="1" t="e">
        <v>#N/A</v>
      </c>
      <c r="L151" s="1" t="s">
        <v>389</v>
      </c>
      <c r="P151">
        <f t="shared" si="27"/>
        <v>0</v>
      </c>
      <c r="R151" t="e">
        <f t="shared" si="28"/>
        <v>#DIV/0!</v>
      </c>
      <c r="V151">
        <f t="shared" si="29"/>
        <v>0</v>
      </c>
      <c r="W151">
        <f t="shared" si="30"/>
        <v>0</v>
      </c>
      <c r="AD151">
        <f t="shared" si="31"/>
        <v>0</v>
      </c>
      <c r="AE151">
        <f t="shared" si="32"/>
        <v>0</v>
      </c>
    </row>
    <row r="152" spans="1:35">
      <c r="A152">
        <v>10376</v>
      </c>
      <c r="B152" s="2">
        <v>46022</v>
      </c>
      <c r="C152" s="1">
        <v>6</v>
      </c>
      <c r="D152" s="1" t="s">
        <v>35</v>
      </c>
      <c r="E152" s="1" t="s">
        <v>36</v>
      </c>
      <c r="F152" s="1">
        <v>10377</v>
      </c>
      <c r="G152" s="1" t="s">
        <v>150</v>
      </c>
      <c r="H152" s="1" t="s">
        <v>151</v>
      </c>
      <c r="I152" s="1">
        <v>40</v>
      </c>
      <c r="J152" s="1" t="s">
        <v>152</v>
      </c>
      <c r="K152" s="1" t="e">
        <v>#N/A</v>
      </c>
      <c r="L152" s="1" t="s">
        <v>40</v>
      </c>
      <c r="P152">
        <f t="shared" si="27"/>
        <v>0</v>
      </c>
      <c r="R152" t="e">
        <f t="shared" si="28"/>
        <v>#DIV/0!</v>
      </c>
      <c r="V152">
        <f t="shared" si="29"/>
        <v>0</v>
      </c>
      <c r="W152">
        <f t="shared" si="30"/>
        <v>0</v>
      </c>
      <c r="AD152">
        <f t="shared" si="31"/>
        <v>0</v>
      </c>
      <c r="AE152">
        <f t="shared" si="32"/>
        <v>0</v>
      </c>
    </row>
    <row r="153" spans="1:35">
      <c r="A153">
        <v>10385</v>
      </c>
      <c r="B153" s="2">
        <v>46022</v>
      </c>
      <c r="C153" s="1">
        <v>6</v>
      </c>
      <c r="D153" s="1" t="s">
        <v>35</v>
      </c>
      <c r="E153" s="1" t="s">
        <v>36</v>
      </c>
      <c r="F153" s="1">
        <v>10386</v>
      </c>
      <c r="G153" s="1" t="s">
        <v>150</v>
      </c>
      <c r="H153" s="1" t="s">
        <v>151</v>
      </c>
      <c r="I153" s="1">
        <v>40</v>
      </c>
      <c r="J153" s="1" t="s">
        <v>158</v>
      </c>
      <c r="K153" s="1" t="e">
        <v>#N/A</v>
      </c>
      <c r="L153" s="1" t="s">
        <v>159</v>
      </c>
      <c r="P153">
        <f t="shared" si="27"/>
        <v>4</v>
      </c>
      <c r="R153">
        <f t="shared" si="28"/>
        <v>0</v>
      </c>
      <c r="V153">
        <f t="shared" si="29"/>
        <v>0</v>
      </c>
      <c r="W153">
        <f t="shared" si="30"/>
        <v>0</v>
      </c>
      <c r="AD153">
        <f t="shared" si="31"/>
        <v>0</v>
      </c>
      <c r="AE153">
        <f t="shared" si="32"/>
        <v>0</v>
      </c>
    </row>
    <row r="154" spans="1:35">
      <c r="A154">
        <v>10439</v>
      </c>
      <c r="B154" s="2">
        <v>46022</v>
      </c>
      <c r="C154" s="1">
        <v>6</v>
      </c>
      <c r="D154" s="1" t="s">
        <v>35</v>
      </c>
      <c r="E154" s="1" t="s">
        <v>36</v>
      </c>
      <c r="F154" s="1">
        <v>10440</v>
      </c>
      <c r="G154" s="1" t="s">
        <v>150</v>
      </c>
      <c r="H154" s="1" t="s">
        <v>151</v>
      </c>
      <c r="I154" s="1">
        <v>40</v>
      </c>
      <c r="J154" s="1" t="s">
        <v>165</v>
      </c>
      <c r="K154" s="1" t="e">
        <v>#N/A</v>
      </c>
      <c r="L154" s="1" t="s">
        <v>166</v>
      </c>
      <c r="M154">
        <v>12</v>
      </c>
      <c r="N154">
        <v>4</v>
      </c>
      <c r="O154">
        <v>0</v>
      </c>
      <c r="P154">
        <f t="shared" si="27"/>
        <v>2</v>
      </c>
      <c r="Q154">
        <v>5</v>
      </c>
      <c r="R154">
        <f t="shared" si="28"/>
        <v>46</v>
      </c>
      <c r="S154">
        <v>92</v>
      </c>
      <c r="T154">
        <v>67</v>
      </c>
      <c r="V154">
        <f t="shared" si="29"/>
        <v>0</v>
      </c>
      <c r="W154">
        <f t="shared" si="30"/>
        <v>92</v>
      </c>
      <c r="Y154">
        <v>20</v>
      </c>
      <c r="Z154">
        <v>4</v>
      </c>
      <c r="AD154">
        <f t="shared" si="31"/>
        <v>0</v>
      </c>
      <c r="AE154">
        <f t="shared" si="32"/>
        <v>0</v>
      </c>
      <c r="AH154">
        <v>0</v>
      </c>
      <c r="AI154">
        <v>1</v>
      </c>
    </row>
    <row r="155" spans="1:35">
      <c r="A155">
        <v>10451</v>
      </c>
      <c r="B155" s="2">
        <v>46022</v>
      </c>
      <c r="C155" s="1">
        <v>6</v>
      </c>
      <c r="D155" s="1" t="s">
        <v>35</v>
      </c>
      <c r="E155" s="1" t="s">
        <v>36</v>
      </c>
      <c r="F155" s="1">
        <v>10452</v>
      </c>
      <c r="G155" s="1" t="s">
        <v>150</v>
      </c>
      <c r="H155" s="1" t="s">
        <v>151</v>
      </c>
      <c r="I155" s="1">
        <v>40</v>
      </c>
      <c r="J155" s="1" t="s">
        <v>180</v>
      </c>
      <c r="K155" s="1" t="e">
        <v>#N/A</v>
      </c>
      <c r="L155" s="1" t="s">
        <v>181</v>
      </c>
      <c r="M155">
        <v>12</v>
      </c>
      <c r="N155">
        <v>2</v>
      </c>
      <c r="O155">
        <v>0</v>
      </c>
      <c r="P155">
        <f t="shared" si="27"/>
        <v>4</v>
      </c>
      <c r="Q155">
        <v>6</v>
      </c>
      <c r="R155">
        <f t="shared" si="28"/>
        <v>18</v>
      </c>
      <c r="S155">
        <v>72</v>
      </c>
      <c r="T155">
        <v>33</v>
      </c>
      <c r="V155">
        <f t="shared" si="29"/>
        <v>0</v>
      </c>
      <c r="W155">
        <f t="shared" si="30"/>
        <v>72</v>
      </c>
      <c r="Y155">
        <v>10</v>
      </c>
      <c r="Z155">
        <v>2</v>
      </c>
      <c r="AD155">
        <f t="shared" si="31"/>
        <v>0</v>
      </c>
      <c r="AE155">
        <f t="shared" si="32"/>
        <v>0</v>
      </c>
      <c r="AH155">
        <v>0</v>
      </c>
      <c r="AI155">
        <v>0</v>
      </c>
    </row>
    <row r="156" spans="1:35">
      <c r="A156">
        <v>10459</v>
      </c>
      <c r="B156" s="2">
        <v>46022</v>
      </c>
      <c r="C156" s="1">
        <v>6</v>
      </c>
      <c r="D156" s="1" t="s">
        <v>35</v>
      </c>
      <c r="E156" s="1" t="s">
        <v>36</v>
      </c>
      <c r="F156" s="1">
        <v>10460</v>
      </c>
      <c r="G156" s="1" t="s">
        <v>150</v>
      </c>
      <c r="H156" s="1" t="s">
        <v>151</v>
      </c>
      <c r="I156" s="1">
        <v>40</v>
      </c>
      <c r="J156" s="1" t="s">
        <v>187</v>
      </c>
      <c r="K156" s="1" t="e">
        <v>#N/A</v>
      </c>
      <c r="L156" s="1" t="s">
        <v>188</v>
      </c>
      <c r="M156">
        <v>6</v>
      </c>
      <c r="N156">
        <v>3</v>
      </c>
      <c r="O156">
        <v>1</v>
      </c>
      <c r="P156">
        <f t="shared" si="27"/>
        <v>0</v>
      </c>
      <c r="Q156">
        <v>6</v>
      </c>
      <c r="R156" t="e">
        <f t="shared" si="28"/>
        <v>#DIV/0!</v>
      </c>
      <c r="S156">
        <v>112</v>
      </c>
      <c r="T156">
        <v>67</v>
      </c>
      <c r="V156">
        <f t="shared" si="29"/>
        <v>0</v>
      </c>
      <c r="W156">
        <f t="shared" si="30"/>
        <v>112</v>
      </c>
      <c r="Y156">
        <v>25</v>
      </c>
      <c r="Z156">
        <v>5</v>
      </c>
      <c r="AD156">
        <f t="shared" si="31"/>
        <v>0</v>
      </c>
      <c r="AE156">
        <f t="shared" si="32"/>
        <v>0</v>
      </c>
      <c r="AH156">
        <v>1</v>
      </c>
      <c r="AI156">
        <v>2</v>
      </c>
    </row>
    <row r="157" spans="1:35">
      <c r="A157">
        <v>10553</v>
      </c>
      <c r="B157" s="2">
        <v>46022</v>
      </c>
      <c r="C157" s="1">
        <v>6</v>
      </c>
      <c r="D157" s="1" t="s">
        <v>35</v>
      </c>
      <c r="E157" s="1" t="s">
        <v>36</v>
      </c>
      <c r="F157" s="1">
        <v>10554</v>
      </c>
      <c r="G157" s="1" t="s">
        <v>150</v>
      </c>
      <c r="H157" s="1" t="s">
        <v>151</v>
      </c>
      <c r="I157" s="1">
        <v>40</v>
      </c>
      <c r="J157" s="1" t="s">
        <v>231</v>
      </c>
      <c r="K157" s="1" t="e">
        <v>#N/A</v>
      </c>
      <c r="L157" s="1" t="s">
        <v>232</v>
      </c>
      <c r="P157">
        <f t="shared" si="27"/>
        <v>2</v>
      </c>
      <c r="R157">
        <f t="shared" si="28"/>
        <v>0</v>
      </c>
      <c r="V157">
        <f t="shared" si="29"/>
        <v>0</v>
      </c>
      <c r="W157">
        <f t="shared" si="30"/>
        <v>0</v>
      </c>
      <c r="AD157">
        <f t="shared" si="31"/>
        <v>0</v>
      </c>
      <c r="AE157">
        <f t="shared" si="32"/>
        <v>0</v>
      </c>
    </row>
    <row r="158" spans="1:35">
      <c r="A158">
        <v>10554</v>
      </c>
      <c r="B158" s="2">
        <v>46022</v>
      </c>
      <c r="C158" s="1">
        <v>6</v>
      </c>
      <c r="D158" s="1" t="s">
        <v>35</v>
      </c>
      <c r="E158" s="1" t="s">
        <v>36</v>
      </c>
      <c r="F158" s="1">
        <v>10555</v>
      </c>
      <c r="G158" s="1" t="s">
        <v>150</v>
      </c>
      <c r="H158" s="1" t="s">
        <v>151</v>
      </c>
      <c r="I158" s="1">
        <v>40</v>
      </c>
      <c r="J158" s="1" t="s">
        <v>233</v>
      </c>
      <c r="K158" s="1" t="e">
        <v>#N/A</v>
      </c>
      <c r="L158" s="1" t="s">
        <v>234</v>
      </c>
      <c r="M158">
        <v>12</v>
      </c>
      <c r="N158">
        <v>2</v>
      </c>
      <c r="O158">
        <v>0</v>
      </c>
      <c r="P158">
        <f t="shared" si="27"/>
        <v>2</v>
      </c>
      <c r="Q158">
        <v>4</v>
      </c>
      <c r="R158">
        <f t="shared" si="28"/>
        <v>28</v>
      </c>
      <c r="S158">
        <v>56</v>
      </c>
      <c r="T158">
        <v>42</v>
      </c>
      <c r="V158">
        <f t="shared" si="29"/>
        <v>0</v>
      </c>
      <c r="W158">
        <f t="shared" si="30"/>
        <v>56</v>
      </c>
      <c r="Y158">
        <v>15</v>
      </c>
      <c r="Z158">
        <v>3</v>
      </c>
      <c r="AD158">
        <f t="shared" si="31"/>
        <v>0</v>
      </c>
      <c r="AE158">
        <f t="shared" si="32"/>
        <v>0</v>
      </c>
      <c r="AH158">
        <v>1</v>
      </c>
      <c r="AI158">
        <v>0</v>
      </c>
    </row>
    <row r="159" spans="1:35">
      <c r="A159">
        <v>10564</v>
      </c>
      <c r="B159" s="2">
        <v>46022</v>
      </c>
      <c r="C159" s="1">
        <v>6</v>
      </c>
      <c r="D159" s="1" t="s">
        <v>35</v>
      </c>
      <c r="E159" s="1" t="s">
        <v>36</v>
      </c>
      <c r="F159" s="1">
        <v>10565</v>
      </c>
      <c r="G159" s="1" t="s">
        <v>150</v>
      </c>
      <c r="H159" s="1" t="s">
        <v>151</v>
      </c>
      <c r="I159" s="1">
        <v>40</v>
      </c>
      <c r="J159" s="1" t="s">
        <v>243</v>
      </c>
      <c r="K159" s="1" t="e">
        <v>#N/A</v>
      </c>
      <c r="L159" s="1" t="s">
        <v>244</v>
      </c>
      <c r="M159">
        <v>9</v>
      </c>
      <c r="N159">
        <v>2</v>
      </c>
      <c r="O159">
        <v>0</v>
      </c>
      <c r="P159">
        <f t="shared" si="27"/>
        <v>3</v>
      </c>
      <c r="Q159">
        <v>5</v>
      </c>
      <c r="R159">
        <f t="shared" si="28"/>
        <v>8.3333333333333339</v>
      </c>
      <c r="S159">
        <v>25</v>
      </c>
      <c r="T159">
        <v>15</v>
      </c>
      <c r="V159">
        <f t="shared" si="29"/>
        <v>0</v>
      </c>
      <c r="W159">
        <f t="shared" si="30"/>
        <v>25</v>
      </c>
      <c r="Y159">
        <v>5</v>
      </c>
      <c r="Z159">
        <v>1</v>
      </c>
      <c r="AD159">
        <f t="shared" si="31"/>
        <v>0</v>
      </c>
      <c r="AE159">
        <f t="shared" si="32"/>
        <v>0</v>
      </c>
      <c r="AH159">
        <v>0</v>
      </c>
      <c r="AI159">
        <v>0</v>
      </c>
    </row>
    <row r="160" spans="1:35">
      <c r="A160">
        <v>10565</v>
      </c>
      <c r="B160" s="2">
        <v>46022</v>
      </c>
      <c r="C160" s="1">
        <v>6</v>
      </c>
      <c r="D160" s="1" t="s">
        <v>35</v>
      </c>
      <c r="E160" s="1" t="s">
        <v>36</v>
      </c>
      <c r="F160" s="1">
        <v>10566</v>
      </c>
      <c r="G160" s="1" t="s">
        <v>150</v>
      </c>
      <c r="H160" s="1" t="s">
        <v>151</v>
      </c>
      <c r="I160" s="1">
        <v>40</v>
      </c>
      <c r="J160" s="1" t="s">
        <v>245</v>
      </c>
      <c r="K160" s="1" t="e">
        <v>#N/A</v>
      </c>
      <c r="L160" s="1" t="s">
        <v>246</v>
      </c>
      <c r="M160">
        <v>12</v>
      </c>
      <c r="N160">
        <v>3</v>
      </c>
      <c r="O160">
        <v>0</v>
      </c>
      <c r="P160">
        <f t="shared" si="27"/>
        <v>1</v>
      </c>
      <c r="R160">
        <f t="shared" si="28"/>
        <v>65</v>
      </c>
      <c r="S160">
        <v>65</v>
      </c>
      <c r="T160">
        <v>35</v>
      </c>
      <c r="V160">
        <f t="shared" si="29"/>
        <v>0</v>
      </c>
      <c r="W160">
        <f t="shared" si="30"/>
        <v>65</v>
      </c>
      <c r="Y160">
        <v>10</v>
      </c>
      <c r="Z160">
        <v>2</v>
      </c>
      <c r="AD160">
        <f t="shared" si="31"/>
        <v>0</v>
      </c>
      <c r="AE160">
        <f t="shared" si="32"/>
        <v>0</v>
      </c>
      <c r="AH160">
        <v>0</v>
      </c>
      <c r="AI160">
        <v>1</v>
      </c>
    </row>
    <row r="161" spans="1:35">
      <c r="A161">
        <v>10571</v>
      </c>
      <c r="B161" s="2">
        <v>46022</v>
      </c>
      <c r="C161" s="1">
        <v>6</v>
      </c>
      <c r="D161" s="1" t="s">
        <v>35</v>
      </c>
      <c r="E161" s="1" t="s">
        <v>36</v>
      </c>
      <c r="F161" s="1">
        <v>10572</v>
      </c>
      <c r="G161" s="1" t="s">
        <v>150</v>
      </c>
      <c r="H161" s="1" t="s">
        <v>151</v>
      </c>
      <c r="I161" s="1">
        <v>40</v>
      </c>
      <c r="J161" s="1" t="s">
        <v>253</v>
      </c>
      <c r="K161" s="1" t="e">
        <v>#N/A</v>
      </c>
      <c r="L161" s="1" t="s">
        <v>254</v>
      </c>
      <c r="M161">
        <v>3</v>
      </c>
      <c r="N161">
        <v>1</v>
      </c>
      <c r="O161">
        <v>0</v>
      </c>
      <c r="P161">
        <f t="shared" si="27"/>
        <v>0</v>
      </c>
      <c r="Q161">
        <v>4</v>
      </c>
      <c r="R161" t="e">
        <f t="shared" si="28"/>
        <v>#DIV/0!</v>
      </c>
      <c r="S161">
        <v>17</v>
      </c>
      <c r="T161">
        <v>16</v>
      </c>
      <c r="V161">
        <f t="shared" si="29"/>
        <v>0</v>
      </c>
      <c r="W161">
        <f t="shared" si="30"/>
        <v>17</v>
      </c>
      <c r="Y161">
        <v>5</v>
      </c>
      <c r="Z161">
        <v>1</v>
      </c>
      <c r="AD161">
        <f t="shared" si="31"/>
        <v>0</v>
      </c>
      <c r="AE161">
        <f t="shared" si="32"/>
        <v>0</v>
      </c>
      <c r="AH161">
        <v>0</v>
      </c>
      <c r="AI161">
        <v>0</v>
      </c>
    </row>
    <row r="162" spans="1:35">
      <c r="A162">
        <v>10572</v>
      </c>
      <c r="B162" s="2">
        <v>46022</v>
      </c>
      <c r="C162" s="1">
        <v>6</v>
      </c>
      <c r="D162" s="1" t="s">
        <v>35</v>
      </c>
      <c r="E162" s="1" t="s">
        <v>36</v>
      </c>
      <c r="F162" s="1">
        <v>10573</v>
      </c>
      <c r="G162" s="1" t="s">
        <v>150</v>
      </c>
      <c r="H162" s="1" t="s">
        <v>151</v>
      </c>
      <c r="I162" s="1">
        <v>40</v>
      </c>
      <c r="J162" s="1" t="s">
        <v>255</v>
      </c>
      <c r="K162" s="1" t="e">
        <v>#N/A</v>
      </c>
      <c r="L162" s="1" t="s">
        <v>256</v>
      </c>
      <c r="M162">
        <v>3</v>
      </c>
      <c r="N162">
        <v>0</v>
      </c>
      <c r="O162">
        <v>0</v>
      </c>
      <c r="P162">
        <f t="shared" si="27"/>
        <v>4</v>
      </c>
      <c r="Q162">
        <v>3</v>
      </c>
      <c r="R162">
        <f t="shared" si="28"/>
        <v>2.5</v>
      </c>
      <c r="S162">
        <v>10</v>
      </c>
      <c r="T162">
        <v>0</v>
      </c>
      <c r="V162">
        <f t="shared" si="29"/>
        <v>0</v>
      </c>
      <c r="W162">
        <f t="shared" si="30"/>
        <v>10</v>
      </c>
      <c r="Y162">
        <v>1</v>
      </c>
      <c r="Z162">
        <v>1</v>
      </c>
      <c r="AD162">
        <f t="shared" si="31"/>
        <v>0</v>
      </c>
      <c r="AE162">
        <f t="shared" si="32"/>
        <v>0</v>
      </c>
      <c r="AH162">
        <v>0</v>
      </c>
      <c r="AI162">
        <v>0</v>
      </c>
    </row>
    <row r="163" spans="1:35">
      <c r="A163">
        <v>10573</v>
      </c>
      <c r="B163" s="2">
        <v>46022</v>
      </c>
      <c r="C163" s="1">
        <v>6</v>
      </c>
      <c r="D163" s="1" t="s">
        <v>35</v>
      </c>
      <c r="E163" s="1" t="s">
        <v>36</v>
      </c>
      <c r="F163" s="1">
        <v>10574</v>
      </c>
      <c r="G163" s="1" t="s">
        <v>150</v>
      </c>
      <c r="H163" s="1" t="s">
        <v>151</v>
      </c>
      <c r="I163" s="1">
        <v>40</v>
      </c>
      <c r="J163" s="1" t="s">
        <v>257</v>
      </c>
      <c r="K163" s="1" t="e">
        <v>#N/A</v>
      </c>
      <c r="L163" s="1" t="s">
        <v>258</v>
      </c>
      <c r="M163">
        <v>6</v>
      </c>
      <c r="N163">
        <v>4</v>
      </c>
      <c r="O163">
        <v>0</v>
      </c>
      <c r="P163">
        <f t="shared" si="27"/>
        <v>2</v>
      </c>
      <c r="Q163">
        <v>5</v>
      </c>
      <c r="R163">
        <f t="shared" si="28"/>
        <v>52.5</v>
      </c>
      <c r="S163">
        <v>105</v>
      </c>
      <c r="T163">
        <v>94</v>
      </c>
      <c r="V163">
        <f t="shared" si="29"/>
        <v>0</v>
      </c>
      <c r="W163">
        <f t="shared" si="30"/>
        <v>105</v>
      </c>
      <c r="Y163">
        <v>25</v>
      </c>
      <c r="Z163">
        <v>5</v>
      </c>
      <c r="AD163">
        <f t="shared" si="31"/>
        <v>0</v>
      </c>
      <c r="AE163">
        <f t="shared" si="32"/>
        <v>0</v>
      </c>
      <c r="AH163">
        <v>0</v>
      </c>
      <c r="AI163">
        <v>1</v>
      </c>
    </row>
    <row r="164" spans="1:35">
      <c r="A164">
        <v>10578</v>
      </c>
      <c r="B164" s="2">
        <v>46022</v>
      </c>
      <c r="C164" s="1">
        <v>6</v>
      </c>
      <c r="D164" s="1" t="s">
        <v>35</v>
      </c>
      <c r="E164" s="1" t="s">
        <v>36</v>
      </c>
      <c r="F164" s="1">
        <v>10579</v>
      </c>
      <c r="G164" s="1" t="s">
        <v>150</v>
      </c>
      <c r="H164" s="1" t="s">
        <v>151</v>
      </c>
      <c r="I164" s="1">
        <v>40</v>
      </c>
      <c r="J164" s="1" t="s">
        <v>263</v>
      </c>
      <c r="K164" s="1" t="e">
        <v>#N/A</v>
      </c>
      <c r="L164" s="1" t="s">
        <v>264</v>
      </c>
      <c r="M164">
        <v>6</v>
      </c>
      <c r="N164">
        <v>1</v>
      </c>
      <c r="O164">
        <v>1</v>
      </c>
      <c r="P164">
        <f t="shared" si="27"/>
        <v>1</v>
      </c>
      <c r="Q164">
        <v>4</v>
      </c>
      <c r="R164">
        <f t="shared" si="28"/>
        <v>81</v>
      </c>
      <c r="S164">
        <v>81</v>
      </c>
      <c r="T164">
        <v>33</v>
      </c>
      <c r="V164">
        <f t="shared" si="29"/>
        <v>0</v>
      </c>
      <c r="W164">
        <f t="shared" si="30"/>
        <v>81</v>
      </c>
      <c r="Y164">
        <v>9</v>
      </c>
      <c r="Z164">
        <v>2</v>
      </c>
      <c r="AD164">
        <f t="shared" si="31"/>
        <v>0</v>
      </c>
      <c r="AE164">
        <f t="shared" si="32"/>
        <v>0</v>
      </c>
      <c r="AH164">
        <v>0</v>
      </c>
      <c r="AI164">
        <v>0</v>
      </c>
    </row>
    <row r="165" spans="1:35">
      <c r="A165">
        <v>10579</v>
      </c>
      <c r="B165" s="2">
        <v>46022</v>
      </c>
      <c r="C165" s="1">
        <v>6</v>
      </c>
      <c r="D165" s="1" t="s">
        <v>35</v>
      </c>
      <c r="E165" s="1" t="s">
        <v>36</v>
      </c>
      <c r="F165" s="1">
        <v>10580</v>
      </c>
      <c r="G165" s="1" t="s">
        <v>150</v>
      </c>
      <c r="H165" s="1" t="s">
        <v>151</v>
      </c>
      <c r="I165" s="1">
        <v>40</v>
      </c>
      <c r="J165" s="1" t="s">
        <v>265</v>
      </c>
      <c r="K165" s="1" t="e">
        <v>#N/A</v>
      </c>
      <c r="L165" s="1" t="s">
        <v>266</v>
      </c>
      <c r="M165">
        <v>6</v>
      </c>
      <c r="N165">
        <v>1</v>
      </c>
      <c r="O165">
        <v>0</v>
      </c>
      <c r="P165">
        <f t="shared" si="27"/>
        <v>2</v>
      </c>
      <c r="Q165">
        <v>4</v>
      </c>
      <c r="R165">
        <f t="shared" si="28"/>
        <v>12.5</v>
      </c>
      <c r="S165">
        <v>25</v>
      </c>
      <c r="T165">
        <v>20</v>
      </c>
      <c r="V165">
        <f t="shared" si="29"/>
        <v>0</v>
      </c>
      <c r="W165">
        <f t="shared" si="30"/>
        <v>25</v>
      </c>
      <c r="Y165">
        <v>5</v>
      </c>
      <c r="Z165">
        <v>1</v>
      </c>
      <c r="AD165">
        <f t="shared" si="31"/>
        <v>0</v>
      </c>
      <c r="AE165">
        <f t="shared" si="32"/>
        <v>0</v>
      </c>
      <c r="AH165">
        <v>0</v>
      </c>
      <c r="AI165">
        <v>0</v>
      </c>
    </row>
    <row r="166" spans="1:35">
      <c r="A166">
        <v>10580</v>
      </c>
      <c r="B166" s="2">
        <v>46022</v>
      </c>
      <c r="C166" s="1">
        <v>6</v>
      </c>
      <c r="D166" s="1" t="s">
        <v>35</v>
      </c>
      <c r="E166" s="1" t="s">
        <v>36</v>
      </c>
      <c r="F166" s="1">
        <v>10581</v>
      </c>
      <c r="G166" s="1" t="s">
        <v>150</v>
      </c>
      <c r="H166" s="1" t="s">
        <v>151</v>
      </c>
      <c r="I166" s="1">
        <v>40</v>
      </c>
      <c r="J166" s="1" t="s">
        <v>267</v>
      </c>
      <c r="K166" s="1" t="e">
        <v>#N/A</v>
      </c>
      <c r="L166" s="1" t="s">
        <v>268</v>
      </c>
      <c r="M166">
        <v>12</v>
      </c>
      <c r="N166">
        <v>2</v>
      </c>
      <c r="O166">
        <v>0</v>
      </c>
      <c r="P166">
        <f t="shared" si="27"/>
        <v>0</v>
      </c>
      <c r="R166" t="e">
        <f t="shared" si="28"/>
        <v>#DIV/0!</v>
      </c>
      <c r="S166">
        <v>49</v>
      </c>
      <c r="T166">
        <v>40</v>
      </c>
      <c r="V166">
        <f t="shared" si="29"/>
        <v>0</v>
      </c>
      <c r="W166">
        <f t="shared" si="30"/>
        <v>49</v>
      </c>
      <c r="Y166">
        <v>12</v>
      </c>
      <c r="Z166">
        <v>2</v>
      </c>
      <c r="AD166">
        <f t="shared" si="31"/>
        <v>0</v>
      </c>
      <c r="AE166">
        <f t="shared" si="32"/>
        <v>0</v>
      </c>
      <c r="AH166">
        <v>1</v>
      </c>
      <c r="AI166">
        <v>0</v>
      </c>
    </row>
    <row r="167" spans="1:35">
      <c r="A167">
        <v>10593</v>
      </c>
      <c r="B167" s="2">
        <v>46022</v>
      </c>
      <c r="C167" s="1">
        <v>6</v>
      </c>
      <c r="D167" s="1" t="s">
        <v>35</v>
      </c>
      <c r="E167" s="1" t="s">
        <v>36</v>
      </c>
      <c r="F167" s="1">
        <v>10594</v>
      </c>
      <c r="G167" s="1" t="s">
        <v>150</v>
      </c>
      <c r="H167" s="1" t="s">
        <v>151</v>
      </c>
      <c r="I167" s="1">
        <v>40</v>
      </c>
      <c r="J167" s="1" t="s">
        <v>271</v>
      </c>
      <c r="K167" s="1" t="e">
        <v>#N/A</v>
      </c>
      <c r="L167" s="1" t="s">
        <v>272</v>
      </c>
      <c r="P167">
        <f t="shared" si="27"/>
        <v>3</v>
      </c>
      <c r="R167">
        <f t="shared" si="28"/>
        <v>0</v>
      </c>
      <c r="V167">
        <f t="shared" si="29"/>
        <v>0</v>
      </c>
      <c r="W167">
        <f t="shared" si="30"/>
        <v>0</v>
      </c>
      <c r="AD167">
        <f t="shared" si="31"/>
        <v>0</v>
      </c>
      <c r="AE167">
        <f t="shared" si="32"/>
        <v>0</v>
      </c>
    </row>
    <row r="168" spans="1:35">
      <c r="A168">
        <v>10597</v>
      </c>
      <c r="B168" s="2">
        <v>46022</v>
      </c>
      <c r="C168" s="1">
        <v>6</v>
      </c>
      <c r="D168" s="1" t="s">
        <v>35</v>
      </c>
      <c r="E168" s="1" t="s">
        <v>36</v>
      </c>
      <c r="F168" s="1">
        <v>10598</v>
      </c>
      <c r="G168" s="1" t="s">
        <v>150</v>
      </c>
      <c r="H168" s="1" t="s">
        <v>151</v>
      </c>
      <c r="I168" s="1">
        <v>40</v>
      </c>
      <c r="J168" s="1" t="s">
        <v>273</v>
      </c>
      <c r="K168" s="1" t="e">
        <v>#N/A</v>
      </c>
      <c r="L168" s="1" t="s">
        <v>274</v>
      </c>
      <c r="M168">
        <v>12</v>
      </c>
      <c r="N168">
        <v>3</v>
      </c>
      <c r="O168">
        <v>0</v>
      </c>
      <c r="P168">
        <f t="shared" si="27"/>
        <v>0</v>
      </c>
      <c r="Q168">
        <v>6</v>
      </c>
      <c r="R168" t="e">
        <f t="shared" si="28"/>
        <v>#DIV/0!</v>
      </c>
      <c r="S168">
        <v>87</v>
      </c>
      <c r="T168">
        <v>56</v>
      </c>
      <c r="V168">
        <f t="shared" si="29"/>
        <v>0</v>
      </c>
      <c r="W168">
        <f t="shared" si="30"/>
        <v>87</v>
      </c>
      <c r="Y168">
        <v>15</v>
      </c>
      <c r="Z168">
        <v>3</v>
      </c>
      <c r="AD168">
        <f t="shared" si="31"/>
        <v>0</v>
      </c>
      <c r="AE168">
        <f t="shared" si="32"/>
        <v>0</v>
      </c>
      <c r="AH168">
        <v>0</v>
      </c>
      <c r="AI168">
        <v>1</v>
      </c>
    </row>
    <row r="169" spans="1:35">
      <c r="A169">
        <v>10605</v>
      </c>
      <c r="B169" s="2">
        <v>46022</v>
      </c>
      <c r="C169" s="1">
        <v>6</v>
      </c>
      <c r="D169" s="1" t="s">
        <v>35</v>
      </c>
      <c r="E169" s="1" t="s">
        <v>36</v>
      </c>
      <c r="F169" s="1">
        <v>10606</v>
      </c>
      <c r="G169" s="1" t="s">
        <v>150</v>
      </c>
      <c r="H169" s="1" t="s">
        <v>151</v>
      </c>
      <c r="I169" s="1">
        <v>40</v>
      </c>
      <c r="J169" s="1" t="s">
        <v>277</v>
      </c>
      <c r="K169" s="1" t="e">
        <v>#N/A</v>
      </c>
      <c r="L169" s="1" t="s">
        <v>278</v>
      </c>
      <c r="P169">
        <f t="shared" si="27"/>
        <v>1</v>
      </c>
      <c r="R169">
        <f t="shared" si="28"/>
        <v>0</v>
      </c>
      <c r="S169" s="3"/>
      <c r="V169">
        <f t="shared" si="29"/>
        <v>0</v>
      </c>
      <c r="W169">
        <f t="shared" si="30"/>
        <v>0</v>
      </c>
      <c r="AD169">
        <f t="shared" si="31"/>
        <v>0</v>
      </c>
      <c r="AE169">
        <f t="shared" si="32"/>
        <v>0</v>
      </c>
    </row>
    <row r="170" spans="1:35">
      <c r="A170">
        <v>10607</v>
      </c>
      <c r="B170" s="2">
        <v>46022</v>
      </c>
      <c r="C170" s="1">
        <v>6</v>
      </c>
      <c r="D170" s="1" t="s">
        <v>35</v>
      </c>
      <c r="E170" s="1" t="s">
        <v>36</v>
      </c>
      <c r="F170" s="1">
        <v>10608</v>
      </c>
      <c r="G170" s="1" t="s">
        <v>150</v>
      </c>
      <c r="H170" s="1" t="s">
        <v>151</v>
      </c>
      <c r="I170" s="1">
        <v>40</v>
      </c>
      <c r="J170" s="1" t="s">
        <v>281</v>
      </c>
      <c r="K170" s="1" t="e">
        <v>#N/A</v>
      </c>
      <c r="L170" s="1" t="s">
        <v>282</v>
      </c>
      <c r="M170">
        <v>12</v>
      </c>
      <c r="N170">
        <v>1</v>
      </c>
      <c r="O170">
        <v>0</v>
      </c>
      <c r="P170">
        <f t="shared" si="27"/>
        <v>1</v>
      </c>
      <c r="Q170">
        <v>3</v>
      </c>
      <c r="R170">
        <f t="shared" si="28"/>
        <v>49</v>
      </c>
      <c r="S170">
        <v>49</v>
      </c>
      <c r="T170">
        <v>16</v>
      </c>
      <c r="V170">
        <f t="shared" si="29"/>
        <v>0</v>
      </c>
      <c r="W170">
        <f t="shared" si="30"/>
        <v>49</v>
      </c>
      <c r="Y170">
        <v>5</v>
      </c>
      <c r="Z170">
        <v>1</v>
      </c>
      <c r="AD170">
        <f t="shared" si="31"/>
        <v>0</v>
      </c>
      <c r="AE170">
        <f t="shared" si="32"/>
        <v>0</v>
      </c>
      <c r="AH170">
        <v>0</v>
      </c>
      <c r="AI170">
        <v>0</v>
      </c>
    </row>
    <row r="171" spans="1:35">
      <c r="A171">
        <v>10612</v>
      </c>
      <c r="B171" s="2">
        <v>46022</v>
      </c>
      <c r="C171" s="1">
        <v>6</v>
      </c>
      <c r="D171" s="1" t="s">
        <v>35</v>
      </c>
      <c r="E171" s="1" t="s">
        <v>36</v>
      </c>
      <c r="F171" s="1">
        <v>10613</v>
      </c>
      <c r="G171" s="1" t="s">
        <v>150</v>
      </c>
      <c r="H171" s="1" t="s">
        <v>151</v>
      </c>
      <c r="I171" s="1">
        <v>40</v>
      </c>
      <c r="J171" s="1" t="s">
        <v>285</v>
      </c>
      <c r="K171" s="1" t="e">
        <v>#N/A</v>
      </c>
      <c r="L171" s="1" t="s">
        <v>286</v>
      </c>
      <c r="M171">
        <v>3</v>
      </c>
      <c r="N171">
        <v>1</v>
      </c>
      <c r="O171">
        <v>0</v>
      </c>
      <c r="P171">
        <f t="shared" si="27"/>
        <v>2</v>
      </c>
      <c r="Q171">
        <v>5</v>
      </c>
      <c r="R171">
        <f t="shared" si="28"/>
        <v>14.5</v>
      </c>
      <c r="S171">
        <v>29</v>
      </c>
      <c r="T171">
        <v>0</v>
      </c>
      <c r="V171">
        <f t="shared" si="29"/>
        <v>0</v>
      </c>
      <c r="W171">
        <f t="shared" si="30"/>
        <v>29</v>
      </c>
      <c r="Y171">
        <v>5</v>
      </c>
      <c r="Z171">
        <v>1</v>
      </c>
      <c r="AD171">
        <f t="shared" si="31"/>
        <v>0</v>
      </c>
      <c r="AE171">
        <f t="shared" si="32"/>
        <v>0</v>
      </c>
      <c r="AH171">
        <v>0</v>
      </c>
      <c r="AI171">
        <v>0</v>
      </c>
    </row>
    <row r="172" spans="1:35">
      <c r="A172">
        <v>10734</v>
      </c>
      <c r="B172" s="2">
        <v>46022</v>
      </c>
      <c r="C172" s="1">
        <v>6</v>
      </c>
      <c r="D172" s="1" t="s">
        <v>35</v>
      </c>
      <c r="E172" s="1" t="s">
        <v>36</v>
      </c>
      <c r="F172" s="1">
        <v>10735</v>
      </c>
      <c r="G172" s="1" t="s">
        <v>150</v>
      </c>
      <c r="H172" s="1" t="s">
        <v>151</v>
      </c>
      <c r="I172" s="1">
        <v>40</v>
      </c>
      <c r="J172" s="1" t="s">
        <v>352</v>
      </c>
      <c r="K172" s="1" t="e">
        <v>#N/A</v>
      </c>
      <c r="L172" s="1" t="s">
        <v>353</v>
      </c>
      <c r="M172">
        <v>12</v>
      </c>
      <c r="N172">
        <v>2</v>
      </c>
      <c r="O172">
        <v>0</v>
      </c>
      <c r="P172">
        <f t="shared" si="27"/>
        <v>1</v>
      </c>
      <c r="Q172">
        <v>3</v>
      </c>
      <c r="R172">
        <f t="shared" si="28"/>
        <v>57</v>
      </c>
      <c r="S172">
        <v>57</v>
      </c>
      <c r="T172">
        <v>34</v>
      </c>
      <c r="V172">
        <f t="shared" si="29"/>
        <v>0</v>
      </c>
      <c r="W172">
        <f t="shared" si="30"/>
        <v>57</v>
      </c>
      <c r="Y172">
        <v>9</v>
      </c>
      <c r="Z172">
        <v>1</v>
      </c>
      <c r="AD172">
        <f t="shared" si="31"/>
        <v>0</v>
      </c>
      <c r="AE172">
        <f t="shared" si="32"/>
        <v>0</v>
      </c>
      <c r="AH172">
        <v>0</v>
      </c>
      <c r="AI172">
        <v>0</v>
      </c>
    </row>
    <row r="173" spans="1:35">
      <c r="A173">
        <v>10742</v>
      </c>
      <c r="B173" s="2">
        <v>46022</v>
      </c>
      <c r="C173" s="1">
        <v>6</v>
      </c>
      <c r="D173" s="1" t="s">
        <v>35</v>
      </c>
      <c r="E173" s="1" t="s">
        <v>36</v>
      </c>
      <c r="F173" s="1">
        <v>10743</v>
      </c>
      <c r="G173" s="1" t="s">
        <v>150</v>
      </c>
      <c r="H173" s="1" t="s">
        <v>151</v>
      </c>
      <c r="I173" s="1">
        <v>40</v>
      </c>
      <c r="J173" s="1" t="s">
        <v>358</v>
      </c>
      <c r="K173" s="1" t="e">
        <v>#N/A</v>
      </c>
      <c r="L173" s="1" t="s">
        <v>359</v>
      </c>
      <c r="M173">
        <v>6</v>
      </c>
      <c r="N173">
        <v>1</v>
      </c>
      <c r="O173">
        <v>0</v>
      </c>
      <c r="P173">
        <f t="shared" si="27"/>
        <v>0</v>
      </c>
      <c r="Q173">
        <v>3</v>
      </c>
      <c r="R173" t="e">
        <f t="shared" si="28"/>
        <v>#DIV/0!</v>
      </c>
      <c r="S173">
        <v>7</v>
      </c>
      <c r="T173">
        <v>0</v>
      </c>
      <c r="V173">
        <f t="shared" si="29"/>
        <v>0</v>
      </c>
      <c r="W173">
        <f t="shared" si="30"/>
        <v>7</v>
      </c>
      <c r="Y173">
        <v>2</v>
      </c>
      <c r="Z173">
        <v>1</v>
      </c>
      <c r="AD173">
        <f t="shared" si="31"/>
        <v>0</v>
      </c>
      <c r="AE173">
        <f t="shared" si="32"/>
        <v>0</v>
      </c>
      <c r="AH173">
        <v>0</v>
      </c>
      <c r="AI173">
        <v>0</v>
      </c>
    </row>
    <row r="174" spans="1:35">
      <c r="A174">
        <v>10785</v>
      </c>
      <c r="B174" s="2">
        <v>46022</v>
      </c>
      <c r="C174" s="1">
        <v>6</v>
      </c>
      <c r="D174" s="1" t="s">
        <v>35</v>
      </c>
      <c r="E174" s="1" t="s">
        <v>36</v>
      </c>
      <c r="F174" s="1">
        <v>10786</v>
      </c>
      <c r="G174" s="1" t="s">
        <v>150</v>
      </c>
      <c r="H174" s="1" t="s">
        <v>151</v>
      </c>
      <c r="I174" s="1">
        <v>40</v>
      </c>
      <c r="J174" s="1" t="s">
        <v>390</v>
      </c>
      <c r="K174" s="1" t="e">
        <v>#N/A</v>
      </c>
      <c r="L174" s="1" t="s">
        <v>391</v>
      </c>
      <c r="P174">
        <f t="shared" si="27"/>
        <v>0</v>
      </c>
      <c r="R174" t="e">
        <f t="shared" si="28"/>
        <v>#DIV/0!</v>
      </c>
      <c r="V174">
        <f t="shared" si="29"/>
        <v>0</v>
      </c>
      <c r="W174">
        <f t="shared" si="30"/>
        <v>0</v>
      </c>
      <c r="AD174">
        <f t="shared" si="31"/>
        <v>0</v>
      </c>
      <c r="AE174">
        <f t="shared" si="32"/>
        <v>0</v>
      </c>
    </row>
    <row r="175" spans="1:35">
      <c r="A175">
        <v>10786</v>
      </c>
      <c r="B175" s="2">
        <v>46022</v>
      </c>
      <c r="C175" s="1">
        <v>6</v>
      </c>
      <c r="D175" s="1" t="s">
        <v>35</v>
      </c>
      <c r="E175" s="1" t="s">
        <v>36</v>
      </c>
      <c r="F175" s="1">
        <v>10787</v>
      </c>
      <c r="G175" s="1" t="s">
        <v>150</v>
      </c>
      <c r="H175" s="1" t="s">
        <v>151</v>
      </c>
      <c r="I175" s="1">
        <v>40</v>
      </c>
      <c r="J175" s="1" t="s">
        <v>392</v>
      </c>
      <c r="K175" s="1" t="e">
        <v>#N/A</v>
      </c>
      <c r="L175" s="1" t="s">
        <v>393</v>
      </c>
      <c r="P175">
        <f t="shared" si="27"/>
        <v>0</v>
      </c>
      <c r="R175" t="e">
        <f t="shared" si="28"/>
        <v>#DIV/0!</v>
      </c>
      <c r="V175">
        <f t="shared" si="29"/>
        <v>0</v>
      </c>
      <c r="W175">
        <f t="shared" si="30"/>
        <v>0</v>
      </c>
      <c r="AD175">
        <f t="shared" si="31"/>
        <v>0</v>
      </c>
      <c r="AE175">
        <f t="shared" si="32"/>
        <v>0</v>
      </c>
    </row>
    <row r="176" spans="1:35">
      <c r="A176">
        <v>10787</v>
      </c>
      <c r="B176" s="2">
        <v>46022</v>
      </c>
      <c r="C176" s="1">
        <v>6</v>
      </c>
      <c r="D176" s="1" t="s">
        <v>35</v>
      </c>
      <c r="E176" s="1" t="s">
        <v>36</v>
      </c>
      <c r="F176" s="1">
        <v>10788</v>
      </c>
      <c r="G176" s="1" t="s">
        <v>150</v>
      </c>
      <c r="H176" s="1" t="s">
        <v>151</v>
      </c>
      <c r="I176" s="1">
        <v>40</v>
      </c>
      <c r="J176" s="1" t="s">
        <v>394</v>
      </c>
      <c r="K176" s="1" t="e">
        <v>#N/A</v>
      </c>
      <c r="L176" s="1" t="s">
        <v>395</v>
      </c>
      <c r="P176">
        <f t="shared" si="27"/>
        <v>0</v>
      </c>
      <c r="R176" t="e">
        <f t="shared" si="28"/>
        <v>#DIV/0!</v>
      </c>
      <c r="V176">
        <f t="shared" si="29"/>
        <v>0</v>
      </c>
      <c r="W176">
        <f t="shared" si="30"/>
        <v>0</v>
      </c>
      <c r="AD176">
        <f t="shared" si="31"/>
        <v>0</v>
      </c>
      <c r="AE176">
        <f t="shared" si="32"/>
        <v>0</v>
      </c>
    </row>
    <row r="177" spans="1:35">
      <c r="A177">
        <v>10788</v>
      </c>
      <c r="B177" s="2">
        <v>46022</v>
      </c>
      <c r="C177" s="1">
        <v>6</v>
      </c>
      <c r="D177" s="1" t="s">
        <v>35</v>
      </c>
      <c r="E177" s="1" t="s">
        <v>36</v>
      </c>
      <c r="F177" s="1">
        <v>10789</v>
      </c>
      <c r="G177" s="1" t="s">
        <v>150</v>
      </c>
      <c r="H177" s="1" t="s">
        <v>151</v>
      </c>
      <c r="I177" s="1">
        <v>40</v>
      </c>
      <c r="J177" s="1" t="s">
        <v>396</v>
      </c>
      <c r="K177" s="1" t="e">
        <v>#N/A</v>
      </c>
      <c r="L177" s="1" t="s">
        <v>397</v>
      </c>
      <c r="P177">
        <f t="shared" si="27"/>
        <v>1</v>
      </c>
      <c r="R177">
        <f t="shared" si="28"/>
        <v>0</v>
      </c>
      <c r="S177" s="3"/>
      <c r="V177">
        <f t="shared" si="29"/>
        <v>0</v>
      </c>
      <c r="W177">
        <f t="shared" si="30"/>
        <v>0</v>
      </c>
      <c r="AD177">
        <f t="shared" si="31"/>
        <v>0</v>
      </c>
      <c r="AE177">
        <f t="shared" si="32"/>
        <v>0</v>
      </c>
    </row>
    <row r="178" spans="1:35">
      <c r="A178">
        <v>10803</v>
      </c>
      <c r="B178" s="2">
        <v>46022</v>
      </c>
      <c r="C178" s="1">
        <v>6</v>
      </c>
      <c r="D178" s="1" t="s">
        <v>35</v>
      </c>
      <c r="E178" s="1" t="s">
        <v>36</v>
      </c>
      <c r="F178" s="1">
        <v>10804</v>
      </c>
      <c r="G178" s="1" t="s">
        <v>150</v>
      </c>
      <c r="H178" s="1" t="s">
        <v>151</v>
      </c>
      <c r="I178" s="1">
        <v>40</v>
      </c>
      <c r="J178" s="1" t="s">
        <v>404</v>
      </c>
      <c r="K178" s="1" t="e">
        <v>#N/A</v>
      </c>
      <c r="L178" s="1" t="s">
        <v>405</v>
      </c>
      <c r="M178">
        <v>6</v>
      </c>
      <c r="N178">
        <v>1</v>
      </c>
      <c r="O178">
        <v>0</v>
      </c>
      <c r="P178">
        <f t="shared" si="27"/>
        <v>0</v>
      </c>
      <c r="Q178">
        <v>6</v>
      </c>
      <c r="R178" t="e">
        <f t="shared" si="28"/>
        <v>#DIV/0!</v>
      </c>
      <c r="S178">
        <v>24</v>
      </c>
      <c r="T178">
        <v>15</v>
      </c>
      <c r="V178">
        <f t="shared" si="29"/>
        <v>0</v>
      </c>
      <c r="W178">
        <f t="shared" si="30"/>
        <v>24</v>
      </c>
      <c r="Y178">
        <v>5</v>
      </c>
      <c r="Z178">
        <v>1</v>
      </c>
      <c r="AD178">
        <f t="shared" si="31"/>
        <v>0</v>
      </c>
      <c r="AE178">
        <f t="shared" si="32"/>
        <v>0</v>
      </c>
      <c r="AH178">
        <v>0</v>
      </c>
      <c r="AI178">
        <v>0</v>
      </c>
    </row>
    <row r="179" spans="1:35">
      <c r="A179">
        <v>10804</v>
      </c>
      <c r="B179" s="2">
        <v>46022</v>
      </c>
      <c r="C179" s="1">
        <v>6</v>
      </c>
      <c r="D179" s="1" t="s">
        <v>35</v>
      </c>
      <c r="E179" s="1" t="s">
        <v>36</v>
      </c>
      <c r="F179" s="1">
        <v>10805</v>
      </c>
      <c r="G179" s="1" t="s">
        <v>150</v>
      </c>
      <c r="H179" s="1" t="s">
        <v>151</v>
      </c>
      <c r="I179" s="1">
        <v>40</v>
      </c>
      <c r="J179" s="1" t="s">
        <v>406</v>
      </c>
      <c r="K179" s="1" t="e">
        <v>#N/A</v>
      </c>
      <c r="L179" s="1" t="s">
        <v>407</v>
      </c>
      <c r="P179">
        <f t="shared" si="27"/>
        <v>90</v>
      </c>
      <c r="R179">
        <f t="shared" si="28"/>
        <v>0</v>
      </c>
      <c r="V179">
        <f t="shared" si="29"/>
        <v>0</v>
      </c>
      <c r="W179">
        <f t="shared" si="30"/>
        <v>0</v>
      </c>
      <c r="AD179">
        <f t="shared" si="31"/>
        <v>0</v>
      </c>
      <c r="AE179">
        <f t="shared" si="32"/>
        <v>0</v>
      </c>
    </row>
    <row r="180" spans="1:35">
      <c r="A180">
        <v>10636</v>
      </c>
      <c r="B180" s="2">
        <v>46022</v>
      </c>
      <c r="C180" s="1">
        <v>6</v>
      </c>
      <c r="D180" s="1" t="s">
        <v>35</v>
      </c>
      <c r="E180" s="1" t="s">
        <v>36</v>
      </c>
      <c r="F180" s="1">
        <v>10637</v>
      </c>
      <c r="G180" s="1" t="s">
        <v>299</v>
      </c>
      <c r="H180" s="1" t="s">
        <v>299</v>
      </c>
      <c r="I180" s="1">
        <v>53</v>
      </c>
      <c r="J180" s="1" t="s">
        <v>300</v>
      </c>
      <c r="K180" s="1" t="e">
        <v>#N/A</v>
      </c>
      <c r="L180" s="1" t="s">
        <v>301</v>
      </c>
      <c r="M180">
        <v>90</v>
      </c>
      <c r="N180">
        <v>85</v>
      </c>
      <c r="O180">
        <v>5</v>
      </c>
      <c r="P180">
        <f t="shared" si="27"/>
        <v>85</v>
      </c>
      <c r="Q180">
        <v>4</v>
      </c>
      <c r="R180">
        <f t="shared" si="28"/>
        <v>31.764705882352942</v>
      </c>
      <c r="S180">
        <v>2700</v>
      </c>
      <c r="T180">
        <v>2100</v>
      </c>
      <c r="V180">
        <f t="shared" si="29"/>
        <v>0</v>
      </c>
      <c r="W180">
        <f t="shared" si="30"/>
        <v>2700</v>
      </c>
      <c r="Y180">
        <v>45</v>
      </c>
      <c r="Z180">
        <v>25</v>
      </c>
      <c r="AD180">
        <f t="shared" si="31"/>
        <v>0</v>
      </c>
      <c r="AE180">
        <f t="shared" si="32"/>
        <v>0</v>
      </c>
      <c r="AH180">
        <v>0</v>
      </c>
      <c r="AI180">
        <v>0</v>
      </c>
    </row>
    <row r="181" spans="1:35">
      <c r="A181">
        <v>10640</v>
      </c>
      <c r="B181" s="2">
        <v>46022</v>
      </c>
      <c r="C181" s="1">
        <v>6</v>
      </c>
      <c r="D181" s="1" t="s">
        <v>35</v>
      </c>
      <c r="E181" s="1" t="s">
        <v>36</v>
      </c>
      <c r="F181" s="1">
        <v>10641</v>
      </c>
      <c r="G181" s="1" t="s">
        <v>299</v>
      </c>
      <c r="H181" s="1" t="s">
        <v>299</v>
      </c>
      <c r="I181" s="1">
        <v>53</v>
      </c>
      <c r="J181" s="1" t="s">
        <v>304</v>
      </c>
      <c r="K181" s="1" t="e">
        <v>#N/A</v>
      </c>
      <c r="L181" s="1" t="s">
        <v>305</v>
      </c>
      <c r="M181">
        <v>85</v>
      </c>
      <c r="N181">
        <v>75</v>
      </c>
      <c r="O181">
        <v>10</v>
      </c>
      <c r="P181">
        <f t="shared" si="27"/>
        <v>65</v>
      </c>
      <c r="Q181">
        <v>5</v>
      </c>
      <c r="R181">
        <f t="shared" si="28"/>
        <v>28.846153846153847</v>
      </c>
      <c r="S181">
        <v>1875</v>
      </c>
      <c r="T181">
        <v>750</v>
      </c>
      <c r="V181">
        <f t="shared" si="29"/>
        <v>0</v>
      </c>
      <c r="W181">
        <f t="shared" si="30"/>
        <v>1875</v>
      </c>
      <c r="Y181">
        <v>6</v>
      </c>
      <c r="Z181">
        <v>4</v>
      </c>
      <c r="AD181">
        <f t="shared" si="31"/>
        <v>0</v>
      </c>
      <c r="AE181">
        <f t="shared" si="32"/>
        <v>0</v>
      </c>
      <c r="AH181">
        <v>0</v>
      </c>
      <c r="AI181">
        <v>0</v>
      </c>
    </row>
    <row r="182" spans="1:35">
      <c r="A182">
        <v>10643</v>
      </c>
      <c r="B182" s="2">
        <v>46022</v>
      </c>
      <c r="C182" s="1">
        <v>6</v>
      </c>
      <c r="D182" s="1" t="s">
        <v>35</v>
      </c>
      <c r="E182" s="1" t="s">
        <v>36</v>
      </c>
      <c r="F182" s="1">
        <v>10644</v>
      </c>
      <c r="G182" s="1" t="s">
        <v>299</v>
      </c>
      <c r="H182" s="1" t="s">
        <v>299</v>
      </c>
      <c r="I182" s="1">
        <v>53</v>
      </c>
      <c r="J182" s="1" t="s">
        <v>306</v>
      </c>
      <c r="K182" s="1" t="e">
        <v>#N/A</v>
      </c>
      <c r="L182" s="1" t="s">
        <v>307</v>
      </c>
      <c r="M182">
        <v>65</v>
      </c>
      <c r="N182">
        <v>45</v>
      </c>
      <c r="O182">
        <v>20</v>
      </c>
      <c r="P182">
        <f t="shared" si="27"/>
        <v>0</v>
      </c>
      <c r="Q182">
        <v>5</v>
      </c>
      <c r="R182" t="e">
        <f t="shared" si="28"/>
        <v>#DIV/0!</v>
      </c>
      <c r="S182">
        <v>3120</v>
      </c>
      <c r="T182">
        <v>980</v>
      </c>
      <c r="V182">
        <f t="shared" si="29"/>
        <v>0</v>
      </c>
      <c r="W182">
        <f t="shared" si="30"/>
        <v>3120</v>
      </c>
      <c r="Y182">
        <v>10</v>
      </c>
      <c r="Z182">
        <v>8</v>
      </c>
      <c r="AD182">
        <f t="shared" si="31"/>
        <v>0</v>
      </c>
      <c r="AE182">
        <f t="shared" si="32"/>
        <v>0</v>
      </c>
      <c r="AH182">
        <v>0</v>
      </c>
      <c r="AI182">
        <v>0</v>
      </c>
    </row>
    <row r="183" spans="1:35">
      <c r="A183">
        <v>10445</v>
      </c>
      <c r="B183" s="2">
        <v>46022</v>
      </c>
      <c r="C183" s="1">
        <v>6</v>
      </c>
      <c r="D183" s="1" t="s">
        <v>35</v>
      </c>
      <c r="E183" s="1" t="s">
        <v>36</v>
      </c>
      <c r="F183" s="1">
        <v>10446</v>
      </c>
      <c r="G183" s="1" t="s">
        <v>173</v>
      </c>
      <c r="H183" s="1" t="s">
        <v>173</v>
      </c>
      <c r="I183" s="1">
        <v>61</v>
      </c>
      <c r="J183" s="1" t="s">
        <v>174</v>
      </c>
      <c r="K183" s="1" t="e">
        <v>#N/A</v>
      </c>
      <c r="L183" s="1" t="s">
        <v>175</v>
      </c>
      <c r="P183">
        <f t="shared" si="27"/>
        <v>11</v>
      </c>
      <c r="R183">
        <f t="shared" si="28"/>
        <v>0</v>
      </c>
      <c r="V183">
        <f t="shared" si="29"/>
        <v>0</v>
      </c>
      <c r="W183">
        <f t="shared" si="30"/>
        <v>0</v>
      </c>
      <c r="AD183">
        <f t="shared" si="31"/>
        <v>0</v>
      </c>
      <c r="AE183">
        <f t="shared" si="32"/>
        <v>0</v>
      </c>
    </row>
    <row r="184" spans="1:35">
      <c r="A184">
        <v>10528</v>
      </c>
      <c r="B184" s="2">
        <v>46022</v>
      </c>
      <c r="C184" s="1">
        <v>6</v>
      </c>
      <c r="D184" s="1" t="s">
        <v>35</v>
      </c>
      <c r="E184" s="1" t="s">
        <v>36</v>
      </c>
      <c r="F184" s="1">
        <v>10529</v>
      </c>
      <c r="G184" s="1" t="s">
        <v>173</v>
      </c>
      <c r="H184" s="1" t="s">
        <v>173</v>
      </c>
      <c r="I184" s="1">
        <v>61</v>
      </c>
      <c r="J184" s="1" t="s">
        <v>213</v>
      </c>
      <c r="K184" s="1" t="e">
        <v>#N/A</v>
      </c>
      <c r="L184" s="1" t="s">
        <v>96</v>
      </c>
      <c r="M184">
        <v>19</v>
      </c>
      <c r="N184">
        <v>6</v>
      </c>
      <c r="O184">
        <v>5</v>
      </c>
      <c r="P184">
        <f t="shared" si="27"/>
        <v>7</v>
      </c>
      <c r="Q184">
        <v>12</v>
      </c>
      <c r="R184">
        <f t="shared" si="28"/>
        <v>10.142857142857142</v>
      </c>
      <c r="S184">
        <v>71</v>
      </c>
      <c r="T184">
        <v>56</v>
      </c>
      <c r="V184">
        <f t="shared" si="29"/>
        <v>0</v>
      </c>
      <c r="W184">
        <f t="shared" si="30"/>
        <v>71</v>
      </c>
      <c r="Y184">
        <v>15</v>
      </c>
      <c r="Z184">
        <v>11</v>
      </c>
      <c r="AD184">
        <f t="shared" si="31"/>
        <v>0</v>
      </c>
      <c r="AE184">
        <f t="shared" si="32"/>
        <v>0</v>
      </c>
      <c r="AH184">
        <v>0</v>
      </c>
      <c r="AI184">
        <v>0</v>
      </c>
    </row>
    <row r="185" spans="1:35">
      <c r="A185">
        <v>10529</v>
      </c>
      <c r="B185" s="2">
        <v>46022</v>
      </c>
      <c r="C185" s="1">
        <v>6</v>
      </c>
      <c r="D185" s="1" t="s">
        <v>35</v>
      </c>
      <c r="E185" s="1" t="s">
        <v>36</v>
      </c>
      <c r="F185" s="1">
        <v>10530</v>
      </c>
      <c r="G185" s="1" t="s">
        <v>173</v>
      </c>
      <c r="H185" s="1" t="s">
        <v>173</v>
      </c>
      <c r="I185" s="1">
        <v>61</v>
      </c>
      <c r="J185" s="1" t="s">
        <v>214</v>
      </c>
      <c r="K185" s="1" t="e">
        <v>#N/A</v>
      </c>
      <c r="L185" s="1" t="s">
        <v>215</v>
      </c>
      <c r="M185">
        <v>6</v>
      </c>
      <c r="N185">
        <v>4</v>
      </c>
      <c r="O185">
        <v>3</v>
      </c>
      <c r="P185">
        <f t="shared" si="27"/>
        <v>4</v>
      </c>
      <c r="Q185">
        <v>8</v>
      </c>
      <c r="R185">
        <f t="shared" si="28"/>
        <v>11.75</v>
      </c>
      <c r="S185">
        <v>47</v>
      </c>
      <c r="T185">
        <v>36</v>
      </c>
      <c r="V185">
        <f t="shared" si="29"/>
        <v>0</v>
      </c>
      <c r="W185">
        <f t="shared" si="30"/>
        <v>47</v>
      </c>
      <c r="Y185">
        <v>8</v>
      </c>
      <c r="Z185">
        <v>7</v>
      </c>
      <c r="AD185">
        <f>SUM(V185/100)</f>
        <v>0</v>
      </c>
      <c r="AE185">
        <f t="shared" si="32"/>
        <v>0</v>
      </c>
      <c r="AH185">
        <v>0</v>
      </c>
      <c r="AI185">
        <v>0</v>
      </c>
    </row>
    <row r="186" spans="1:35">
      <c r="A186">
        <v>10530</v>
      </c>
      <c r="B186" s="2">
        <v>46022</v>
      </c>
      <c r="C186" s="1">
        <v>6</v>
      </c>
      <c r="D186" s="1" t="s">
        <v>35</v>
      </c>
      <c r="E186" s="1" t="s">
        <v>36</v>
      </c>
      <c r="F186" s="1">
        <v>10531</v>
      </c>
      <c r="G186" s="1" t="s">
        <v>173</v>
      </c>
      <c r="H186" s="1" t="s">
        <v>173</v>
      </c>
      <c r="I186" s="1">
        <v>61</v>
      </c>
      <c r="J186" s="1" t="s">
        <v>216</v>
      </c>
      <c r="K186" s="1" t="e">
        <v>#N/A</v>
      </c>
      <c r="L186" s="1" t="s">
        <v>40</v>
      </c>
      <c r="M186">
        <v>6</v>
      </c>
      <c r="N186">
        <v>2</v>
      </c>
      <c r="O186">
        <v>2</v>
      </c>
      <c r="P186">
        <f t="shared" si="27"/>
        <v>5</v>
      </c>
      <c r="Q186">
        <v>8</v>
      </c>
      <c r="R186">
        <f t="shared" si="28"/>
        <v>7.2</v>
      </c>
      <c r="S186">
        <v>36</v>
      </c>
      <c r="T186">
        <v>25</v>
      </c>
      <c r="V186">
        <f t="shared" si="29"/>
        <v>0</v>
      </c>
      <c r="W186">
        <f t="shared" si="30"/>
        <v>36</v>
      </c>
      <c r="Y186">
        <v>3</v>
      </c>
      <c r="Z186">
        <v>4</v>
      </c>
      <c r="AD186">
        <f t="shared" ref="AD186:AD196" si="33">SUM(V186/100)</f>
        <v>0</v>
      </c>
      <c r="AE186">
        <f t="shared" si="32"/>
        <v>0</v>
      </c>
      <c r="AH186">
        <v>0</v>
      </c>
      <c r="AI186">
        <v>0</v>
      </c>
    </row>
    <row r="187" spans="1:35">
      <c r="A187">
        <v>10531</v>
      </c>
      <c r="B187" s="2">
        <v>46022</v>
      </c>
      <c r="C187" s="1">
        <v>6</v>
      </c>
      <c r="D187" s="1" t="s">
        <v>35</v>
      </c>
      <c r="E187" s="1" t="s">
        <v>36</v>
      </c>
      <c r="F187" s="1">
        <v>10532</v>
      </c>
      <c r="G187" s="1" t="s">
        <v>173</v>
      </c>
      <c r="H187" s="1" t="s">
        <v>173</v>
      </c>
      <c r="I187" s="1">
        <v>61</v>
      </c>
      <c r="J187" s="1" t="s">
        <v>217</v>
      </c>
      <c r="K187" s="1">
        <v>9777</v>
      </c>
      <c r="L187" s="1" t="s">
        <v>218</v>
      </c>
      <c r="M187">
        <v>7</v>
      </c>
      <c r="N187">
        <v>3</v>
      </c>
      <c r="O187">
        <v>2</v>
      </c>
      <c r="P187">
        <f t="shared" si="27"/>
        <v>9</v>
      </c>
      <c r="Q187">
        <v>8</v>
      </c>
      <c r="R187">
        <f t="shared" si="28"/>
        <v>4.1111111111111107</v>
      </c>
      <c r="S187">
        <v>37</v>
      </c>
      <c r="T187">
        <v>20</v>
      </c>
      <c r="V187">
        <f t="shared" si="29"/>
        <v>0</v>
      </c>
      <c r="W187">
        <f t="shared" si="30"/>
        <v>37</v>
      </c>
      <c r="Y187">
        <v>9</v>
      </c>
      <c r="Z187">
        <v>5</v>
      </c>
      <c r="AD187">
        <f t="shared" si="33"/>
        <v>0</v>
      </c>
      <c r="AE187">
        <f t="shared" si="32"/>
        <v>0</v>
      </c>
      <c r="AH187">
        <v>0</v>
      </c>
      <c r="AI187">
        <v>0</v>
      </c>
    </row>
    <row r="188" spans="1:35">
      <c r="A188">
        <v>10532</v>
      </c>
      <c r="B188" s="2">
        <v>46022</v>
      </c>
      <c r="C188" s="1">
        <v>6</v>
      </c>
      <c r="D188" s="1" t="s">
        <v>35</v>
      </c>
      <c r="E188" s="1" t="s">
        <v>36</v>
      </c>
      <c r="F188" s="1">
        <v>10533</v>
      </c>
      <c r="G188" s="1" t="s">
        <v>173</v>
      </c>
      <c r="H188" s="1" t="s">
        <v>173</v>
      </c>
      <c r="I188" s="1">
        <v>61</v>
      </c>
      <c r="J188" s="1" t="s">
        <v>219</v>
      </c>
      <c r="K188" s="1">
        <v>6500</v>
      </c>
      <c r="L188" s="1" t="s">
        <v>220</v>
      </c>
      <c r="M188">
        <v>15</v>
      </c>
      <c r="N188">
        <v>5</v>
      </c>
      <c r="O188">
        <v>4</v>
      </c>
      <c r="P188">
        <f t="shared" si="27"/>
        <v>5</v>
      </c>
      <c r="Q188">
        <v>9</v>
      </c>
      <c r="R188">
        <f t="shared" si="28"/>
        <v>0</v>
      </c>
      <c r="T188">
        <v>35</v>
      </c>
      <c r="U188">
        <v>25</v>
      </c>
      <c r="V188">
        <f t="shared" si="29"/>
        <v>9</v>
      </c>
      <c r="W188">
        <f t="shared" si="30"/>
        <v>-9</v>
      </c>
      <c r="Y188">
        <v>18</v>
      </c>
      <c r="Z188">
        <v>8</v>
      </c>
      <c r="AD188">
        <f t="shared" si="33"/>
        <v>0.09</v>
      </c>
      <c r="AE188">
        <f t="shared" si="32"/>
        <v>0</v>
      </c>
      <c r="AH188">
        <v>0</v>
      </c>
      <c r="AI188">
        <v>0</v>
      </c>
    </row>
    <row r="189" spans="1:35">
      <c r="A189">
        <v>10800</v>
      </c>
      <c r="B189" s="2">
        <v>46022</v>
      </c>
      <c r="C189" s="1">
        <v>6</v>
      </c>
      <c r="D189" s="1" t="s">
        <v>35</v>
      </c>
      <c r="E189" s="1" t="s">
        <v>36</v>
      </c>
      <c r="F189" s="1">
        <v>10801</v>
      </c>
      <c r="G189" s="1" t="s">
        <v>173</v>
      </c>
      <c r="H189" s="1" t="s">
        <v>173</v>
      </c>
      <c r="I189" s="1">
        <v>61</v>
      </c>
      <c r="J189" s="1" t="s">
        <v>398</v>
      </c>
      <c r="K189" s="1" t="e">
        <v>#N/A</v>
      </c>
      <c r="L189" s="1" t="s">
        <v>399</v>
      </c>
      <c r="M189">
        <v>5</v>
      </c>
      <c r="N189">
        <v>3</v>
      </c>
      <c r="O189">
        <v>2</v>
      </c>
      <c r="P189">
        <f t="shared" si="27"/>
        <v>5</v>
      </c>
      <c r="Q189">
        <v>6</v>
      </c>
      <c r="R189">
        <f t="shared" si="28"/>
        <v>22.2</v>
      </c>
      <c r="S189">
        <v>111</v>
      </c>
      <c r="T189">
        <v>44</v>
      </c>
      <c r="V189">
        <f t="shared" si="29"/>
        <v>0</v>
      </c>
      <c r="W189">
        <f t="shared" si="30"/>
        <v>111</v>
      </c>
      <c r="Y189">
        <v>8</v>
      </c>
      <c r="Z189">
        <v>6</v>
      </c>
      <c r="AD189">
        <f t="shared" si="33"/>
        <v>0</v>
      </c>
      <c r="AE189">
        <f t="shared" si="32"/>
        <v>0</v>
      </c>
      <c r="AH189">
        <v>0</v>
      </c>
      <c r="AI189">
        <v>0</v>
      </c>
    </row>
    <row r="190" spans="1:35">
      <c r="A190">
        <v>10801</v>
      </c>
      <c r="B190" s="2">
        <v>46022</v>
      </c>
      <c r="C190" s="1">
        <v>6</v>
      </c>
      <c r="D190" s="1" t="s">
        <v>35</v>
      </c>
      <c r="E190" s="1" t="s">
        <v>36</v>
      </c>
      <c r="F190" s="1">
        <v>10802</v>
      </c>
      <c r="G190" s="1" t="s">
        <v>173</v>
      </c>
      <c r="H190" s="1" t="s">
        <v>173</v>
      </c>
      <c r="I190" s="1">
        <v>61</v>
      </c>
      <c r="J190" s="1" t="s">
        <v>400</v>
      </c>
      <c r="K190" s="1" t="e">
        <v>#N/A</v>
      </c>
      <c r="L190" s="1" t="s">
        <v>401</v>
      </c>
      <c r="M190">
        <v>10</v>
      </c>
      <c r="N190">
        <v>3</v>
      </c>
      <c r="O190">
        <v>2</v>
      </c>
      <c r="P190">
        <f t="shared" si="27"/>
        <v>6</v>
      </c>
      <c r="Q190">
        <v>6</v>
      </c>
      <c r="R190">
        <f t="shared" si="28"/>
        <v>7.833333333333333</v>
      </c>
      <c r="S190">
        <v>47</v>
      </c>
      <c r="T190">
        <v>28</v>
      </c>
      <c r="V190">
        <f t="shared" si="29"/>
        <v>0</v>
      </c>
      <c r="W190">
        <f t="shared" si="30"/>
        <v>47</v>
      </c>
      <c r="Y190">
        <v>8</v>
      </c>
      <c r="Z190">
        <v>7</v>
      </c>
      <c r="AD190">
        <f t="shared" si="33"/>
        <v>0</v>
      </c>
      <c r="AE190">
        <f t="shared" si="32"/>
        <v>0</v>
      </c>
      <c r="AH190">
        <v>0</v>
      </c>
      <c r="AI190">
        <v>0</v>
      </c>
    </row>
    <row r="191" spans="1:35">
      <c r="A191">
        <v>10802</v>
      </c>
      <c r="B191" s="2">
        <v>46022</v>
      </c>
      <c r="C191" s="1">
        <v>6</v>
      </c>
      <c r="D191" s="1" t="s">
        <v>35</v>
      </c>
      <c r="E191" s="1" t="s">
        <v>36</v>
      </c>
      <c r="F191" s="1">
        <v>10803</v>
      </c>
      <c r="G191" s="1" t="s">
        <v>173</v>
      </c>
      <c r="H191" s="1" t="s">
        <v>173</v>
      </c>
      <c r="I191" s="1">
        <v>61</v>
      </c>
      <c r="J191" s="1" t="s">
        <v>402</v>
      </c>
      <c r="K191" s="1" t="e">
        <v>#N/A</v>
      </c>
      <c r="L191" s="1" t="s">
        <v>403</v>
      </c>
      <c r="M191">
        <v>9</v>
      </c>
      <c r="N191">
        <v>4</v>
      </c>
      <c r="O191">
        <v>2</v>
      </c>
      <c r="P191">
        <f t="shared" si="27"/>
        <v>1</v>
      </c>
      <c r="Q191">
        <v>7</v>
      </c>
      <c r="R191">
        <f t="shared" si="28"/>
        <v>40</v>
      </c>
      <c r="S191">
        <v>40</v>
      </c>
      <c r="T191">
        <v>26</v>
      </c>
      <c r="V191">
        <f t="shared" si="29"/>
        <v>0</v>
      </c>
      <c r="W191">
        <f t="shared" si="30"/>
        <v>40</v>
      </c>
      <c r="Y191">
        <v>8</v>
      </c>
      <c r="Z191">
        <v>4</v>
      </c>
      <c r="AD191">
        <f t="shared" si="33"/>
        <v>0</v>
      </c>
      <c r="AE191">
        <f t="shared" si="32"/>
        <v>0</v>
      </c>
      <c r="AH191">
        <v>0</v>
      </c>
      <c r="AI191">
        <v>0</v>
      </c>
    </row>
    <row r="192" spans="1:35">
      <c r="A192">
        <v>10616</v>
      </c>
      <c r="B192" s="2">
        <v>46022</v>
      </c>
      <c r="C192" s="1">
        <v>6</v>
      </c>
      <c r="D192" s="1" t="s">
        <v>35</v>
      </c>
      <c r="E192" s="1" t="s">
        <v>36</v>
      </c>
      <c r="F192" s="1">
        <v>10617</v>
      </c>
      <c r="G192" s="1" t="s">
        <v>287</v>
      </c>
      <c r="H192" s="1" t="s">
        <v>288</v>
      </c>
      <c r="I192" s="1">
        <v>144</v>
      </c>
      <c r="J192" s="1" t="s">
        <v>289</v>
      </c>
      <c r="K192" s="1" t="e">
        <v>#N/A</v>
      </c>
      <c r="L192" s="1" t="s">
        <v>290</v>
      </c>
      <c r="M192">
        <v>12</v>
      </c>
      <c r="N192">
        <v>0</v>
      </c>
      <c r="O192">
        <v>1</v>
      </c>
      <c r="P192">
        <f t="shared" si="27"/>
        <v>0</v>
      </c>
      <c r="Q192">
        <v>1</v>
      </c>
      <c r="R192" t="e">
        <f t="shared" si="28"/>
        <v>#DIV/0!</v>
      </c>
      <c r="S192">
        <v>5</v>
      </c>
      <c r="T192">
        <v>0</v>
      </c>
      <c r="V192">
        <f t="shared" si="29"/>
        <v>0</v>
      </c>
      <c r="W192">
        <f t="shared" si="30"/>
        <v>5</v>
      </c>
      <c r="Y192">
        <v>2</v>
      </c>
      <c r="Z192">
        <v>1</v>
      </c>
      <c r="AD192">
        <f t="shared" si="33"/>
        <v>0</v>
      </c>
      <c r="AE192">
        <f t="shared" si="32"/>
        <v>0</v>
      </c>
      <c r="AH192">
        <v>0</v>
      </c>
      <c r="AI192">
        <v>0</v>
      </c>
    </row>
    <row r="193" spans="1:35">
      <c r="A193">
        <v>10618</v>
      </c>
      <c r="B193" s="2">
        <v>46022</v>
      </c>
      <c r="C193" s="1">
        <v>6</v>
      </c>
      <c r="D193" s="1" t="s">
        <v>35</v>
      </c>
      <c r="E193" s="1" t="s">
        <v>36</v>
      </c>
      <c r="F193" s="1">
        <v>10619</v>
      </c>
      <c r="G193" s="1" t="s">
        <v>287</v>
      </c>
      <c r="H193" s="1" t="s">
        <v>288</v>
      </c>
      <c r="I193" s="1">
        <v>144</v>
      </c>
      <c r="J193" s="1" t="s">
        <v>291</v>
      </c>
      <c r="K193" s="1" t="e">
        <v>#N/A</v>
      </c>
      <c r="L193" s="1" t="s">
        <v>292</v>
      </c>
      <c r="P193">
        <f t="shared" si="27"/>
        <v>0</v>
      </c>
      <c r="R193" t="e">
        <f t="shared" si="28"/>
        <v>#DIV/0!</v>
      </c>
      <c r="V193">
        <f t="shared" si="29"/>
        <v>0</v>
      </c>
      <c r="W193">
        <f t="shared" si="30"/>
        <v>0</v>
      </c>
      <c r="AD193">
        <f t="shared" si="33"/>
        <v>0</v>
      </c>
      <c r="AE193">
        <f t="shared" si="32"/>
        <v>0</v>
      </c>
    </row>
    <row r="194" spans="1:35">
      <c r="A194">
        <v>10620</v>
      </c>
      <c r="B194" s="2">
        <v>46022</v>
      </c>
      <c r="C194" s="1">
        <v>6</v>
      </c>
      <c r="D194" s="1" t="s">
        <v>35</v>
      </c>
      <c r="E194" s="1" t="s">
        <v>36</v>
      </c>
      <c r="F194" s="1">
        <v>10621</v>
      </c>
      <c r="G194" s="1" t="s">
        <v>287</v>
      </c>
      <c r="H194" s="1" t="s">
        <v>288</v>
      </c>
      <c r="I194" s="1">
        <v>144</v>
      </c>
      <c r="J194" s="1" t="s">
        <v>293</v>
      </c>
      <c r="K194" s="1" t="e">
        <v>#N/A</v>
      </c>
      <c r="L194" s="1" t="s">
        <v>294</v>
      </c>
      <c r="M194">
        <v>12</v>
      </c>
      <c r="N194">
        <v>0</v>
      </c>
      <c r="O194">
        <v>0</v>
      </c>
      <c r="P194">
        <f t="shared" si="27"/>
        <v>1</v>
      </c>
      <c r="Q194">
        <v>2</v>
      </c>
      <c r="R194">
        <f t="shared" si="28"/>
        <v>6</v>
      </c>
      <c r="S194">
        <v>6</v>
      </c>
      <c r="T194">
        <v>0</v>
      </c>
      <c r="V194">
        <f t="shared" si="29"/>
        <v>0</v>
      </c>
      <c r="W194">
        <f t="shared" si="30"/>
        <v>6</v>
      </c>
      <c r="Y194">
        <v>2</v>
      </c>
      <c r="Z194">
        <v>1</v>
      </c>
      <c r="AD194">
        <f t="shared" si="33"/>
        <v>0</v>
      </c>
      <c r="AE194">
        <f t="shared" si="32"/>
        <v>0</v>
      </c>
      <c r="AH194">
        <v>0</v>
      </c>
      <c r="AI194">
        <v>0</v>
      </c>
    </row>
    <row r="195" spans="1:35">
      <c r="A195">
        <v>10621</v>
      </c>
      <c r="B195" s="2">
        <v>46022</v>
      </c>
      <c r="C195" s="1">
        <v>6</v>
      </c>
      <c r="D195" s="1" t="s">
        <v>35</v>
      </c>
      <c r="E195" s="1" t="s">
        <v>36</v>
      </c>
      <c r="F195" s="1">
        <v>10622</v>
      </c>
      <c r="G195" s="1" t="s">
        <v>287</v>
      </c>
      <c r="H195" s="1" t="s">
        <v>288</v>
      </c>
      <c r="I195" s="1">
        <v>144</v>
      </c>
      <c r="J195" s="1" t="s">
        <v>295</v>
      </c>
      <c r="K195" s="1" t="e">
        <v>#N/A</v>
      </c>
      <c r="L195" s="1" t="s">
        <v>296</v>
      </c>
      <c r="M195">
        <v>12</v>
      </c>
      <c r="N195">
        <v>0</v>
      </c>
      <c r="O195">
        <v>1</v>
      </c>
      <c r="P195">
        <f t="shared" si="27"/>
        <v>1</v>
      </c>
      <c r="Q195">
        <v>3</v>
      </c>
      <c r="R195">
        <f t="shared" si="28"/>
        <v>7</v>
      </c>
      <c r="S195">
        <v>7</v>
      </c>
      <c r="T195">
        <v>5</v>
      </c>
      <c r="V195">
        <f t="shared" si="29"/>
        <v>0</v>
      </c>
      <c r="W195">
        <f t="shared" si="30"/>
        <v>7</v>
      </c>
      <c r="Y195">
        <v>2</v>
      </c>
      <c r="Z195">
        <v>1</v>
      </c>
      <c r="AD195">
        <f t="shared" si="33"/>
        <v>0</v>
      </c>
      <c r="AE195">
        <f t="shared" si="32"/>
        <v>0</v>
      </c>
      <c r="AH195">
        <v>0</v>
      </c>
      <c r="AI195">
        <v>0</v>
      </c>
    </row>
    <row r="196" spans="1:35">
      <c r="A196">
        <v>10637</v>
      </c>
      <c r="B196" s="2">
        <v>46022</v>
      </c>
      <c r="C196" s="1">
        <v>6</v>
      </c>
      <c r="D196" s="1" t="s">
        <v>35</v>
      </c>
      <c r="E196" s="1" t="s">
        <v>36</v>
      </c>
      <c r="F196" s="1">
        <v>10638</v>
      </c>
      <c r="G196" s="1" t="s">
        <v>287</v>
      </c>
      <c r="H196" s="1" t="s">
        <v>288</v>
      </c>
      <c r="I196" s="1">
        <v>144</v>
      </c>
      <c r="J196" s="1" t="s">
        <v>302</v>
      </c>
      <c r="K196" s="1" t="e">
        <v>#N/A</v>
      </c>
      <c r="L196" s="1" t="s">
        <v>303</v>
      </c>
      <c r="M196">
        <v>11</v>
      </c>
      <c r="N196">
        <v>0</v>
      </c>
      <c r="O196">
        <v>1</v>
      </c>
      <c r="P196">
        <f t="shared" ref="P196" si="34">SUM(N197:O197)</f>
        <v>0</v>
      </c>
      <c r="Q196">
        <v>1</v>
      </c>
      <c r="R196" t="e">
        <f t="shared" ref="R196" si="35">S196/P196</f>
        <v>#DIV/0!</v>
      </c>
      <c r="S196">
        <v>7</v>
      </c>
      <c r="T196">
        <v>0</v>
      </c>
      <c r="V196">
        <f t="shared" ref="V196" si="36">ROUND(SUM(U196*T196)/100,0)</f>
        <v>0</v>
      </c>
      <c r="W196">
        <f t="shared" ref="W196" si="37">ROUND(SUM(S196-V196),0)</f>
        <v>7</v>
      </c>
      <c r="Y196">
        <v>2</v>
      </c>
      <c r="Z196">
        <v>1</v>
      </c>
      <c r="AD196">
        <f t="shared" si="33"/>
        <v>0</v>
      </c>
      <c r="AE196">
        <f t="shared" ref="AE196" si="38">ROUND(SUM(P196*AD196),0)</f>
        <v>0</v>
      </c>
      <c r="AH196">
        <v>0</v>
      </c>
      <c r="AI196">
        <v>0</v>
      </c>
    </row>
  </sheetData>
  <autoFilter ref="A2:AI196" xr:uid="{03E590E6-FF86-4B94-BC62-EFC1AAC15AE5}">
    <sortState xmlns:xlrd2="http://schemas.microsoft.com/office/spreadsheetml/2017/richdata2" ref="A68:AI106">
      <sortCondition ref="L2:L196"/>
    </sortState>
  </autoFilter>
  <mergeCells count="1">
    <mergeCell ref="B1:L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72875-D391-4466-90BD-243C45A1EC83}">
  <dimension ref="A1:S22"/>
  <sheetViews>
    <sheetView topLeftCell="A7" workbookViewId="0">
      <selection activeCell="D5" sqref="D5"/>
    </sheetView>
  </sheetViews>
  <sheetFormatPr baseColWidth="10" defaultColWidth="8.6640625" defaultRowHeight="14.25"/>
  <cols>
    <col min="4" max="4" width="18.70703125" customWidth="1"/>
  </cols>
  <sheetData>
    <row r="1" spans="1:19">
      <c r="A1" t="s">
        <v>425</v>
      </c>
      <c r="B1" t="s">
        <v>426</v>
      </c>
      <c r="C1" t="s">
        <v>427</v>
      </c>
      <c r="D1" t="s">
        <v>428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429</v>
      </c>
      <c r="N1" t="s">
        <v>21</v>
      </c>
      <c r="O1" t="s">
        <v>430</v>
      </c>
      <c r="P1" t="s">
        <v>24</v>
      </c>
      <c r="Q1" t="s">
        <v>25</v>
      </c>
      <c r="R1" t="s">
        <v>431</v>
      </c>
      <c r="S1" t="s">
        <v>432</v>
      </c>
    </row>
    <row r="2" spans="1:19">
      <c r="A2">
        <v>46027</v>
      </c>
      <c r="B2" t="s">
        <v>36</v>
      </c>
      <c r="C2" t="s">
        <v>433</v>
      </c>
      <c r="D2" t="s">
        <v>434</v>
      </c>
      <c r="E2">
        <v>5</v>
      </c>
      <c r="F2">
        <v>0</v>
      </c>
      <c r="G2">
        <v>2</v>
      </c>
      <c r="H2">
        <f t="shared" ref="H2:H4" si="0">SUM(F2+G2)</f>
        <v>2</v>
      </c>
      <c r="I2">
        <v>1</v>
      </c>
      <c r="J2">
        <v>37.5</v>
      </c>
      <c r="K2">
        <v>75</v>
      </c>
      <c r="L2">
        <v>9</v>
      </c>
      <c r="P2">
        <v>4</v>
      </c>
      <c r="Q2">
        <v>1</v>
      </c>
      <c r="R2">
        <v>0</v>
      </c>
      <c r="S2">
        <v>1</v>
      </c>
    </row>
    <row r="3" spans="1:19">
      <c r="A3">
        <v>46027</v>
      </c>
      <c r="B3" t="s">
        <v>36</v>
      </c>
      <c r="C3" t="s">
        <v>435</v>
      </c>
      <c r="D3" t="s">
        <v>436</v>
      </c>
      <c r="E3">
        <v>7</v>
      </c>
      <c r="F3">
        <v>0</v>
      </c>
      <c r="G3">
        <v>2</v>
      </c>
      <c r="H3">
        <f t="shared" si="0"/>
        <v>2</v>
      </c>
      <c r="I3">
        <v>1</v>
      </c>
      <c r="J3">
        <v>44</v>
      </c>
      <c r="K3">
        <v>88</v>
      </c>
      <c r="L3">
        <v>11</v>
      </c>
      <c r="P3">
        <v>5</v>
      </c>
      <c r="Q3">
        <v>1</v>
      </c>
      <c r="R3">
        <v>0</v>
      </c>
      <c r="S3">
        <v>1</v>
      </c>
    </row>
    <row r="4" spans="1:19">
      <c r="A4">
        <v>46027</v>
      </c>
      <c r="B4" t="s">
        <v>36</v>
      </c>
      <c r="C4" t="s">
        <v>435</v>
      </c>
      <c r="D4" t="s">
        <v>437</v>
      </c>
      <c r="E4">
        <v>4</v>
      </c>
      <c r="F4">
        <v>0</v>
      </c>
      <c r="G4">
        <v>2</v>
      </c>
      <c r="H4">
        <f t="shared" si="0"/>
        <v>2</v>
      </c>
      <c r="I4">
        <v>1</v>
      </c>
      <c r="J4">
        <v>32</v>
      </c>
      <c r="K4">
        <v>64</v>
      </c>
      <c r="L4">
        <v>6</v>
      </c>
      <c r="P4">
        <v>4</v>
      </c>
      <c r="Q4">
        <v>1</v>
      </c>
      <c r="R4">
        <v>0</v>
      </c>
      <c r="S4">
        <v>1</v>
      </c>
    </row>
    <row r="5" spans="1:19">
      <c r="B5" t="s">
        <v>36</v>
      </c>
      <c r="C5" t="s">
        <v>435</v>
      </c>
      <c r="D5" t="s">
        <v>438</v>
      </c>
      <c r="E5">
        <v>2</v>
      </c>
      <c r="F5">
        <v>1</v>
      </c>
      <c r="G5">
        <v>2</v>
      </c>
      <c r="H5">
        <f>SUM(F4+G4)</f>
        <v>2</v>
      </c>
      <c r="I5">
        <v>1</v>
      </c>
      <c r="K5">
        <v>0</v>
      </c>
      <c r="L5">
        <v>7</v>
      </c>
      <c r="P5">
        <v>3</v>
      </c>
      <c r="Q5">
        <v>2</v>
      </c>
      <c r="R5">
        <v>0</v>
      </c>
      <c r="S5">
        <v>0</v>
      </c>
    </row>
    <row r="6" spans="1:19">
      <c r="B6" t="s">
        <v>36</v>
      </c>
      <c r="C6" t="s">
        <v>63</v>
      </c>
      <c r="D6" t="s">
        <v>439</v>
      </c>
      <c r="E6">
        <v>3</v>
      </c>
      <c r="F6">
        <v>0</v>
      </c>
      <c r="G6">
        <v>0</v>
      </c>
      <c r="H6">
        <f>SUM(F6+G6)</f>
        <v>0</v>
      </c>
      <c r="I6">
        <v>1</v>
      </c>
      <c r="K6">
        <v>12</v>
      </c>
      <c r="L6">
        <v>3</v>
      </c>
      <c r="P6">
        <v>1</v>
      </c>
      <c r="Q6">
        <v>1</v>
      </c>
      <c r="R6">
        <v>0</v>
      </c>
      <c r="S6">
        <v>0</v>
      </c>
    </row>
    <row r="7" spans="1:19">
      <c r="B7" t="s">
        <v>36</v>
      </c>
      <c r="C7" t="s">
        <v>37</v>
      </c>
      <c r="D7" t="s">
        <v>440</v>
      </c>
      <c r="E7">
        <v>5</v>
      </c>
      <c r="F7">
        <v>4</v>
      </c>
      <c r="G7">
        <v>1</v>
      </c>
      <c r="H7">
        <f t="shared" ref="H7:H16" si="1">SUM(F7+G7)</f>
        <v>5</v>
      </c>
      <c r="I7">
        <v>2</v>
      </c>
      <c r="K7">
        <v>90</v>
      </c>
      <c r="L7">
        <v>17</v>
      </c>
      <c r="N7">
        <v>0</v>
      </c>
      <c r="P7">
        <v>3</v>
      </c>
      <c r="Q7">
        <v>2</v>
      </c>
      <c r="R7">
        <v>0</v>
      </c>
      <c r="S7">
        <v>0</v>
      </c>
    </row>
    <row r="8" spans="1:19">
      <c r="B8" t="s">
        <v>36</v>
      </c>
      <c r="C8" t="s">
        <v>37</v>
      </c>
      <c r="D8" t="s">
        <v>441</v>
      </c>
      <c r="E8">
        <v>15</v>
      </c>
      <c r="F8">
        <v>7</v>
      </c>
      <c r="G8">
        <v>1</v>
      </c>
      <c r="H8">
        <f t="shared" si="1"/>
        <v>8</v>
      </c>
      <c r="I8">
        <v>2</v>
      </c>
      <c r="K8">
        <v>145</v>
      </c>
      <c r="L8">
        <v>60</v>
      </c>
      <c r="N8">
        <v>0</v>
      </c>
      <c r="P8">
        <v>5</v>
      </c>
      <c r="Q8">
        <v>2</v>
      </c>
      <c r="R8">
        <v>0</v>
      </c>
      <c r="S8">
        <v>0</v>
      </c>
    </row>
    <row r="9" spans="1:19">
      <c r="B9" t="s">
        <v>36</v>
      </c>
      <c r="C9" t="s">
        <v>37</v>
      </c>
      <c r="D9" t="s">
        <v>230</v>
      </c>
      <c r="E9">
        <v>3</v>
      </c>
      <c r="F9">
        <v>1</v>
      </c>
      <c r="G9">
        <v>2</v>
      </c>
      <c r="H9">
        <f t="shared" si="1"/>
        <v>3</v>
      </c>
      <c r="I9">
        <v>7</v>
      </c>
      <c r="K9">
        <v>107</v>
      </c>
      <c r="L9">
        <v>85</v>
      </c>
      <c r="N9">
        <v>0</v>
      </c>
      <c r="P9">
        <v>10</v>
      </c>
      <c r="Q9">
        <v>4</v>
      </c>
      <c r="R9">
        <v>0</v>
      </c>
      <c r="S9">
        <v>0</v>
      </c>
    </row>
    <row r="10" spans="1:19">
      <c r="B10" t="s">
        <v>36</v>
      </c>
      <c r="C10" t="s">
        <v>37</v>
      </c>
      <c r="D10" t="s">
        <v>442</v>
      </c>
      <c r="E10">
        <v>1</v>
      </c>
      <c r="F10">
        <v>1</v>
      </c>
      <c r="G10">
        <v>0</v>
      </c>
      <c r="H10">
        <f t="shared" si="1"/>
        <v>1</v>
      </c>
      <c r="I10">
        <v>1</v>
      </c>
      <c r="K10">
        <v>3</v>
      </c>
      <c r="L10">
        <v>1</v>
      </c>
      <c r="M10">
        <v>100</v>
      </c>
      <c r="N10">
        <v>3</v>
      </c>
      <c r="P10">
        <v>0</v>
      </c>
      <c r="Q10">
        <v>0</v>
      </c>
      <c r="R10">
        <v>0</v>
      </c>
      <c r="S10">
        <v>0</v>
      </c>
    </row>
    <row r="11" spans="1:19">
      <c r="B11" t="s">
        <v>36</v>
      </c>
      <c r="C11" t="s">
        <v>37</v>
      </c>
      <c r="D11" t="s">
        <v>443</v>
      </c>
      <c r="E11">
        <v>3</v>
      </c>
      <c r="F11">
        <v>3</v>
      </c>
      <c r="G11">
        <v>0</v>
      </c>
      <c r="H11">
        <f t="shared" si="1"/>
        <v>3</v>
      </c>
      <c r="I11">
        <v>1</v>
      </c>
      <c r="K11">
        <v>14</v>
      </c>
      <c r="L11">
        <v>2</v>
      </c>
      <c r="M11">
        <v>50</v>
      </c>
      <c r="N11">
        <v>7</v>
      </c>
      <c r="P11">
        <v>0</v>
      </c>
      <c r="Q11">
        <v>0</v>
      </c>
      <c r="R11">
        <v>0</v>
      </c>
      <c r="S11">
        <v>0</v>
      </c>
    </row>
    <row r="12" spans="1:19">
      <c r="B12" t="s">
        <v>36</v>
      </c>
      <c r="C12" t="s">
        <v>37</v>
      </c>
      <c r="D12" t="s">
        <v>444</v>
      </c>
      <c r="E12">
        <v>2</v>
      </c>
      <c r="F12">
        <v>1</v>
      </c>
      <c r="G12">
        <v>0</v>
      </c>
      <c r="H12">
        <f t="shared" si="1"/>
        <v>1</v>
      </c>
      <c r="I12">
        <v>1</v>
      </c>
      <c r="K12">
        <v>20</v>
      </c>
      <c r="L12">
        <v>4</v>
      </c>
      <c r="M12">
        <v>50</v>
      </c>
      <c r="P12">
        <v>1</v>
      </c>
      <c r="Q12">
        <v>1</v>
      </c>
      <c r="R12">
        <v>0</v>
      </c>
      <c r="S12">
        <v>0</v>
      </c>
    </row>
    <row r="13" spans="1:19">
      <c r="B13" t="s">
        <v>36</v>
      </c>
      <c r="C13" t="s">
        <v>37</v>
      </c>
      <c r="D13" t="s">
        <v>445</v>
      </c>
      <c r="E13">
        <v>1</v>
      </c>
      <c r="F13">
        <v>1</v>
      </c>
      <c r="G13">
        <v>0</v>
      </c>
      <c r="H13">
        <f t="shared" si="1"/>
        <v>1</v>
      </c>
      <c r="I13">
        <v>1</v>
      </c>
      <c r="K13">
        <v>4</v>
      </c>
      <c r="L13">
        <v>0</v>
      </c>
      <c r="P13">
        <v>0</v>
      </c>
      <c r="Q13">
        <v>2</v>
      </c>
      <c r="R13">
        <v>0</v>
      </c>
      <c r="S13">
        <v>0</v>
      </c>
    </row>
    <row r="14" spans="1:19">
      <c r="B14" t="s">
        <v>36</v>
      </c>
      <c r="C14" t="s">
        <v>37</v>
      </c>
      <c r="D14" t="s">
        <v>418</v>
      </c>
      <c r="E14">
        <v>3</v>
      </c>
      <c r="F14">
        <v>2</v>
      </c>
      <c r="G14">
        <v>0</v>
      </c>
      <c r="H14">
        <f t="shared" si="1"/>
        <v>2</v>
      </c>
      <c r="I14">
        <v>1</v>
      </c>
      <c r="K14">
        <v>7</v>
      </c>
      <c r="L14">
        <v>1</v>
      </c>
      <c r="M14">
        <v>50</v>
      </c>
      <c r="N14">
        <v>0</v>
      </c>
      <c r="P14">
        <v>0</v>
      </c>
      <c r="Q14">
        <v>0</v>
      </c>
      <c r="R14">
        <v>0</v>
      </c>
      <c r="S14">
        <v>0</v>
      </c>
    </row>
    <row r="15" spans="1:19">
      <c r="B15" t="s">
        <v>36</v>
      </c>
      <c r="C15" t="s">
        <v>37</v>
      </c>
      <c r="D15" t="s">
        <v>446</v>
      </c>
      <c r="E15">
        <v>2</v>
      </c>
      <c r="F15">
        <v>1</v>
      </c>
      <c r="G15">
        <v>0</v>
      </c>
      <c r="H15">
        <f t="shared" si="1"/>
        <v>1</v>
      </c>
      <c r="I15">
        <v>1</v>
      </c>
      <c r="K15">
        <v>3</v>
      </c>
      <c r="L15">
        <v>0</v>
      </c>
      <c r="M15">
        <v>50</v>
      </c>
      <c r="P15">
        <v>0</v>
      </c>
      <c r="Q15">
        <v>1</v>
      </c>
      <c r="R15">
        <v>0</v>
      </c>
      <c r="S15">
        <v>0</v>
      </c>
    </row>
    <row r="16" spans="1:19">
      <c r="B16" t="s">
        <v>36</v>
      </c>
      <c r="C16" t="s">
        <v>37</v>
      </c>
      <c r="D16" t="s">
        <v>447</v>
      </c>
      <c r="E16">
        <v>3</v>
      </c>
      <c r="F16">
        <v>1</v>
      </c>
      <c r="G16">
        <v>0</v>
      </c>
      <c r="H16">
        <f t="shared" si="1"/>
        <v>1</v>
      </c>
      <c r="I16">
        <v>1</v>
      </c>
      <c r="K16">
        <v>4</v>
      </c>
      <c r="L16">
        <v>3</v>
      </c>
      <c r="P16">
        <v>1</v>
      </c>
      <c r="Q16">
        <v>1</v>
      </c>
      <c r="R16">
        <v>0</v>
      </c>
      <c r="S16">
        <v>0</v>
      </c>
    </row>
    <row r="17" spans="2:19">
      <c r="B17" t="s">
        <v>36</v>
      </c>
      <c r="C17" t="s">
        <v>37</v>
      </c>
      <c r="D17" t="s">
        <v>448</v>
      </c>
      <c r="E17">
        <v>5</v>
      </c>
      <c r="F17">
        <v>2</v>
      </c>
      <c r="G17">
        <v>1</v>
      </c>
      <c r="H17">
        <f>SUM(F17+G17)</f>
        <v>3</v>
      </c>
      <c r="I17">
        <v>2</v>
      </c>
      <c r="K17">
        <v>7</v>
      </c>
      <c r="L17">
        <v>2</v>
      </c>
      <c r="M17">
        <v>100</v>
      </c>
      <c r="N17">
        <v>0</v>
      </c>
      <c r="P17">
        <v>1</v>
      </c>
      <c r="Q17">
        <v>0</v>
      </c>
      <c r="R17">
        <v>0</v>
      </c>
      <c r="S17">
        <v>0</v>
      </c>
    </row>
    <row r="18" spans="2:19">
      <c r="B18" t="s">
        <v>36</v>
      </c>
      <c r="C18" t="s">
        <v>37</v>
      </c>
      <c r="D18" t="s">
        <v>449</v>
      </c>
      <c r="E18">
        <v>2</v>
      </c>
      <c r="F18">
        <v>2</v>
      </c>
      <c r="G18">
        <v>0</v>
      </c>
      <c r="H18">
        <f>SUM(F18+G18)</f>
        <v>2</v>
      </c>
      <c r="I18">
        <v>1</v>
      </c>
      <c r="K18">
        <v>55</v>
      </c>
      <c r="L18">
        <v>17</v>
      </c>
      <c r="P18">
        <v>1</v>
      </c>
      <c r="Q18">
        <v>2</v>
      </c>
      <c r="R18">
        <v>0</v>
      </c>
      <c r="S18">
        <v>0</v>
      </c>
    </row>
    <row r="19" spans="2:19">
      <c r="B19" t="s">
        <v>36</v>
      </c>
      <c r="C19" t="s">
        <v>299</v>
      </c>
      <c r="D19" t="s">
        <v>450</v>
      </c>
      <c r="E19">
        <v>22</v>
      </c>
      <c r="F19">
        <v>18</v>
      </c>
      <c r="G19">
        <v>2</v>
      </c>
      <c r="H19">
        <f t="shared" ref="H19:H22" si="2">SUM(F19+G19)</f>
        <v>20</v>
      </c>
      <c r="I19">
        <v>1</v>
      </c>
      <c r="K19">
        <v>400</v>
      </c>
      <c r="L19">
        <v>66</v>
      </c>
      <c r="P19">
        <v>5</v>
      </c>
      <c r="Q19">
        <v>3</v>
      </c>
      <c r="R19">
        <v>0</v>
      </c>
      <c r="S19">
        <v>0</v>
      </c>
    </row>
    <row r="20" spans="2:19">
      <c r="B20" t="s">
        <v>36</v>
      </c>
      <c r="C20" t="s">
        <v>299</v>
      </c>
      <c r="D20" t="s">
        <v>451</v>
      </c>
      <c r="E20">
        <v>35</v>
      </c>
      <c r="F20">
        <v>30</v>
      </c>
      <c r="G20">
        <v>5</v>
      </c>
      <c r="H20">
        <f t="shared" si="2"/>
        <v>35</v>
      </c>
      <c r="I20">
        <v>1</v>
      </c>
      <c r="K20">
        <v>1050</v>
      </c>
      <c r="L20">
        <v>125</v>
      </c>
      <c r="P20">
        <v>0</v>
      </c>
      <c r="Q20">
        <v>12</v>
      </c>
      <c r="R20">
        <v>0</v>
      </c>
      <c r="S20">
        <v>0</v>
      </c>
    </row>
    <row r="21" spans="2:19">
      <c r="B21" t="s">
        <v>36</v>
      </c>
      <c r="C21" t="s">
        <v>299</v>
      </c>
      <c r="D21" t="s">
        <v>452</v>
      </c>
      <c r="E21">
        <v>40</v>
      </c>
      <c r="F21">
        <v>35</v>
      </c>
      <c r="G21">
        <v>5</v>
      </c>
      <c r="H21">
        <f t="shared" si="2"/>
        <v>40</v>
      </c>
      <c r="I21">
        <v>1</v>
      </c>
      <c r="K21">
        <v>800</v>
      </c>
      <c r="L21">
        <v>90</v>
      </c>
      <c r="P21">
        <v>4</v>
      </c>
      <c r="Q21">
        <v>2</v>
      </c>
      <c r="R21">
        <v>0</v>
      </c>
      <c r="S21">
        <v>0</v>
      </c>
    </row>
    <row r="22" spans="2:19">
      <c r="B22" t="s">
        <v>36</v>
      </c>
      <c r="C22" t="s">
        <v>299</v>
      </c>
      <c r="D22" t="s">
        <v>453</v>
      </c>
      <c r="E22">
        <v>54</v>
      </c>
      <c r="F22">
        <v>50</v>
      </c>
      <c r="G22">
        <v>4</v>
      </c>
      <c r="H22">
        <f t="shared" si="2"/>
        <v>54</v>
      </c>
      <c r="I22">
        <v>1</v>
      </c>
      <c r="K22">
        <v>1350</v>
      </c>
      <c r="L22">
        <v>486</v>
      </c>
      <c r="P22">
        <v>8</v>
      </c>
      <c r="Q22">
        <v>4</v>
      </c>
      <c r="R22">
        <v>0</v>
      </c>
      <c r="S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NEW PGs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Trevor Moran</dc:creator>
  <cp:lastModifiedBy>Christian Haiwe Djamo</cp:lastModifiedBy>
  <dcterms:created xsi:type="dcterms:W3CDTF">2025-12-02T15:33:10Z</dcterms:created>
  <dcterms:modified xsi:type="dcterms:W3CDTF">2026-09-30T10:34:23Z</dcterms:modified>
</cp:coreProperties>
</file>